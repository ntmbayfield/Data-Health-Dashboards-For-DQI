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tegration Register" sheetId="2" state="visible" r:id="rId4"/>
    <sheet name="Unit x Integration Map" sheetId="3" state="visible" r:id="rId5"/>
    <sheet name="Build Requirements" sheetId="4" state="visible" r:id="rId6"/>
    <sheet name="Detection Methods" sheetId="5" state="visible" r:id="rId7"/>
    <sheet name="Unit Score Model" sheetId="6" state="visible" r:id="rId8"/>
    <sheet name="Cadence &amp; Stale Config" sheetId="7" state="visible" r:id="rId9"/>
    <sheet name="Field Write Matrix" sheetId="8" state="visible" r:id="rId10"/>
    <sheet name="Risk Findings" sheetId="9" state="visible" r:id="rId11"/>
    <sheet name="Implementation Decision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<sst xmlns="http://schemas.openxmlformats.org/spreadsheetml/2006/main" count="850" uniqueCount="552">
  <si>
    <t xml:space="preserve">Integration Register — Data Quality &amp; Integrations</t>
  </si>
  <si>
    <t xml:space="preserve">External sources  -&gt;  Omatic Cloud (middleware)  -&gt;  Salesforce</t>
  </si>
  <si>
    <t xml:space="preserve">What this workbook is</t>
  </si>
  <si>
    <t xml:space="preserve">The working inventory of every integration writing into Salesforce, and the governance record that sits around it. It is the weeks 1-2 deliverable of the data health dashboard project: the thing you build first, by interviewing the five units, before any dashboard is designed or any code is written.</t>
  </si>
  <si>
    <t xml:space="preserve">Why the inventory comes first</t>
  </si>
  <si>
    <t xml:space="preserve">Nobody can govern a set of pipelines they cannot list. In most decentralised operations no single document names every integration, its owner, its cadence and when its mapping was last reviewed - which means risk is invisible rather than accepted. Building that list is roughly 80% of the total value of this project and requires no engineering at all. Seven risk findings on the Risk Findings tab were produced from the inventory alone, before a single record was examined. Expect to discover integrations nobody centrally knew existed; those discoveries usually justify the effort on their own.</t>
  </si>
  <si>
    <t xml:space="preserve">What it feeds</t>
  </si>
  <si>
    <t xml:space="preserve">Every field on the Integration Register becomes a field on Integration_Definition__c in Salesforce, and every dashboard in the mockup deck is a view over it. Board 01 is this register rendered. Board 02 rolls the run log up by the units named here. Board 06 filters everything to one unit using the Unit x Integration Map. Nothing downstream is buildable until these tabs are populated and signed off.</t>
  </si>
  <si>
    <t xml:space="preserve">How to use it</t>
  </si>
  <si>
    <t xml:space="preserve">Work one unit at a time using the Unit Interview Guide. Fill the YELLOW cells. GREY cells are formulas - do not type over them. PINK marks something that needs escalation rather than documentation. BLUE marks an integration shared between two units. The nine rows already present are the known inventory as stated; add rows as you find more.</t>
  </si>
  <si>
    <t xml:space="preserve">Scope of this version</t>
  </si>
  <si>
    <t xml:space="preserve">Nine integrations, five units, seven source systems. Gratavid and Greater Giving are single vendor accounts serving two units each and are recorded once with a primary and a secondary owner. This is a five-unit proof of concept; the same structure scales to thirty units by adding rows, not columns.</t>
  </si>
  <si>
    <t xml:space="preserve">The tabs</t>
  </si>
  <si>
    <t xml:space="preserve">#</t>
  </si>
  <si>
    <t xml:space="preserve">Tab</t>
  </si>
  <si>
    <t xml:space="preserve">What it holds</t>
  </si>
  <si>
    <t xml:space="preserve">Why it exists</t>
  </si>
  <si>
    <t xml:space="preserve">Integration Register</t>
  </si>
  <si>
    <t xml:space="preserve">One row per integration: owners, source and target, method, cadence, mapping version, the two attestation dates, risk tier, sensitive data, status.</t>
  </si>
  <si>
    <t xml:space="preserve">The spine. Everything else in the workbook and every board in the deck is derived from or joins back to this tab.</t>
  </si>
  <si>
    <t xml:space="preserve">Unit x Integration Map</t>
  </si>
  <si>
    <t xml:space="preserve">Which units see which integration, who is primary, who countersigns a mapping change.</t>
  </si>
  <si>
    <t xml:space="preserve">A shared vendor account serves two units, so unit membership is many-to-many and cannot live in a single column on the register. This tab is what makes the per-unit dashboards possible.</t>
  </si>
  <si>
    <t xml:space="preserve">Build Requirements</t>
  </si>
  <si>
    <t xml:space="preserve">All twelve build requirements with acceptance criteria, owners and the reason each cannot wait.</t>
  </si>
  <si>
    <t xml:space="preserve">Separates what must be built from what must be decided. A requirement has an acceptance test; a decision has a person. Conflating them is how governance work stalls.</t>
  </si>
  <si>
    <t xml:space="preserve">Implementation Decisions</t>
  </si>
  <si>
    <t xml:space="preserve">Fifteen decisions, each either open or governed by a build requirement.</t>
  </si>
  <si>
    <t xml:space="preserve">The open items are the agenda for the definitions review. The governed items record which requirement settled the question, so the reasoning survives the people who were in the room.</t>
  </si>
  <si>
    <t xml:space="preserve">Detection Methods</t>
  </si>
  <si>
    <t xml:space="preserve">The logic behind every alert: the rule, what it catches, what would go undetected without it, and the false-positive risk.</t>
  </si>
  <si>
    <t xml:space="preserve">The tab to read before challenging a number. Several alerts - the create:update canary especially - fire on runs that reported success with zero errors, and look like false alarms until the method is understood.</t>
  </si>
  <si>
    <t xml:space="preserve">Unit Score Model</t>
  </si>
  <si>
    <t xml:space="preserve">The four components of the unit data quality score, their weights, formulas, normalisation and known distortions.</t>
  </si>
  <si>
    <t xml:space="preserve">A composite score compresses four unrelated things into one number. This tab is where the compression is documented and where the warning about publishing letter grades lives.</t>
  </si>
  <si>
    <t xml:space="preserve">Cadence &amp; Stale Config</t>
  </si>
  <si>
    <t xml:space="preserve">Expected cadence, grace, last successful run and expected next run for each integration.</t>
  </si>
  <si>
    <t xml:space="preserve">Staleness has to be derived from an expectation because a stopped integration writes no log rows. Four of nine integrations are bursty and need a manually set next-run date instead of a cadence.</t>
  </si>
  <si>
    <t xml:space="preserve">Field Write Matrix</t>
  </si>
  <si>
    <t xml:space="preserve">Which integration writes which Salesforce field, with a writer count per field.</t>
  </si>
  <si>
    <t xml:space="preserve">Multi-writer conflicts are invisible at runtime - every write succeeds and the last one wins. This is the only place they can be seen, and it is derived from configuration rather than data.</t>
  </si>
  <si>
    <t xml:space="preserve">Risk Findings</t>
  </si>
  <si>
    <t xml:space="preserve">Eight findings with severity, status, why each is a problem and the recommended control.</t>
  </si>
  <si>
    <t xml:space="preserve">What the inventory revealed. Two are already closed or addressed by build requirements; the rest are live.</t>
  </si>
  <si>
    <t xml:space="preserve">How the tabs fit together</t>
  </si>
  <si>
    <t xml:space="preserve">Stage</t>
  </si>
  <si>
    <t xml:space="preserve">Path through the workbook</t>
  </si>
  <si>
    <t xml:space="preserve">What happens here</t>
  </si>
  <si>
    <t xml:space="preserve">1. Inventory</t>
  </si>
  <si>
    <t xml:space="preserve">Unit Interview Guide -&gt; Integration Register + Unit x Integration Map</t>
  </si>
  <si>
    <t xml:space="preserve">You cannot govern what you cannot list. Interviews populate the register; the map records shared ownership.</t>
  </si>
  <si>
    <t xml:space="preserve">2. Analysis</t>
  </si>
  <si>
    <t xml:space="preserve">Integration Register -&gt; Field Write Matrix + Cadence &amp; Stale Config -&gt; Risk Findings</t>
  </si>
  <si>
    <t xml:space="preserve">Two derived views of the register expose problems no one had to look at data to find: fields with more than one writer, and integrations whose silence would go unnoticed.</t>
  </si>
  <si>
    <t xml:space="preserve">3. Response</t>
  </si>
  <si>
    <t xml:space="preserve">Risk Findings -&gt; Build Requirements + Implementation Decisions</t>
  </si>
  <si>
    <t xml:space="preserve">Every finding resolves into something to build or something to decide. A finding with neither is just an observation and will not survive the quarter.</t>
  </si>
  <si>
    <t xml:space="preserve">4. Instrumentation</t>
  </si>
  <si>
    <t xml:space="preserve">Build Requirements -&gt; Detection Methods</t>
  </si>
  <si>
    <t xml:space="preserve">The requirements make the signals capturable; the methods define what each signal means and what it catches. BR-8 exists so the canary in Detection Methods is computable at all.</t>
  </si>
  <si>
    <t xml:space="preserve">5. Measurement</t>
  </si>
  <si>
    <t xml:space="preserve">Detection Methods -&gt; Unit Score Model -&gt; the six dashboards</t>
  </si>
  <si>
    <t xml:space="preserve">Alerts roll up into the four score components. The score is the last thing built, not the first, because it is meaningless until everything above it is in place.</t>
  </si>
  <si>
    <t xml:space="preserve">Companion artifact</t>
  </si>
  <si>
    <t xml:space="preserve">The dashboard mockup deck - six boards plus a margin reference key - is the design that these tabs produce. Read the register first; the boards make considerably more sense once you know what is on them.</t>
  </si>
  <si>
    <t xml:space="preserve">ID</t>
  </si>
  <si>
    <t xml:space="preserve">Integration</t>
  </si>
  <si>
    <t xml:space="preserve">Source system</t>
  </si>
  <si>
    <t xml:space="preserve">Shared?</t>
  </si>
  <si>
    <t xml:space="preserve">Primary unit</t>
  </si>
  <si>
    <t xml:space="preserve">Secondary unit</t>
  </si>
  <si>
    <t xml:space="preserve">Primary business owner</t>
  </si>
  <si>
    <t xml:space="preserve">Secondary business owner</t>
  </si>
  <si>
    <t xml:space="preserve">Technical owner</t>
  </si>
  <si>
    <t xml:space="preserve">Integration user</t>
  </si>
  <si>
    <t xml:space="preserve">Method</t>
  </si>
  <si>
    <t xml:space="preserve">Direction</t>
  </si>
  <si>
    <t xml:space="preserve">Target SF objects</t>
  </si>
  <si>
    <t xml:space="preserve">Creates Contacts?</t>
  </si>
  <si>
    <t xml:space="preserve">Expected cadence</t>
  </si>
  <si>
    <t xml:space="preserve">Mapping ver</t>
  </si>
  <si>
    <t xml:space="preserve">Mapping last modified</t>
  </si>
  <si>
    <t xml:space="preserve">Mapping last attested</t>
  </si>
  <si>
    <t xml:space="preserve">Attested by</t>
  </si>
  <si>
    <t xml:space="preserve">Attestation due</t>
  </si>
  <si>
    <t xml:space="preserve">Unattested change?</t>
  </si>
  <si>
    <t xml:space="preserve">Tier</t>
  </si>
  <si>
    <t xml:space="preserve">Sensitive data</t>
  </si>
  <si>
    <t xml:space="preserve">Status</t>
  </si>
  <si>
    <t xml:space="preserve">Notes</t>
  </si>
  <si>
    <t xml:space="preserve">INT-001</t>
  </si>
  <si>
    <t xml:space="preserve">Gratavid</t>
  </si>
  <si>
    <t xml:space="preserve">Shared</t>
  </si>
  <si>
    <t xml:space="preserve">Alumni Relations</t>
  </si>
  <si>
    <t xml:space="preserve">Development</t>
  </si>
  <si>
    <t xml:space="preserve">api_connector</t>
  </si>
  <si>
    <t xml:space="preserve">bidirectional</t>
  </si>
  <si>
    <t xml:space="preserve">Contact, Campaign Member</t>
  </si>
  <si>
    <t xml:space="preserve">No</t>
  </si>
  <si>
    <t xml:space="preserve">daily</t>
  </si>
  <si>
    <t xml:space="preserve">2.1</t>
  </si>
  <si>
    <t xml:space="preserve">K. Anand</t>
  </si>
  <si>
    <t xml:space="preserve">Recipient names, mobile numbers</t>
  </si>
  <si>
    <t xml:space="preserve">active</t>
  </si>
  <si>
    <t xml:space="preserve">One vendor account, two business owners. Mapping changes require both to sign off. Open: which unit is primary — Alumni Relations is recorded here provisionally (D11).</t>
  </si>
  <si>
    <t xml:space="preserve">INT-002</t>
  </si>
  <si>
    <t xml:space="preserve">Alumni Portal</t>
  </si>
  <si>
    <t xml:space="preserve">inbound</t>
  </si>
  <si>
    <t xml:space="preserve">Contact, Address, Affiliation</t>
  </si>
  <si>
    <t xml:space="preserve">hourly</t>
  </si>
  <si>
    <t xml:space="preserve">4.0</t>
  </si>
  <si>
    <t xml:space="preserve">Self-reported PII, employment</t>
  </si>
  <si>
    <t xml:space="preserve">The only pipeline whose source is thousands of untrained people. Needs a split control model: auto-apply job title, employer and phone; stage legal name changes and address replacements for review.</t>
  </si>
  <si>
    <t xml:space="preserve">INT-003</t>
  </si>
  <si>
    <t xml:space="preserve">Mailchimp — Marketing &amp; Comms</t>
  </si>
  <si>
    <t xml:space="preserve">Mailchimp</t>
  </si>
  <si>
    <t xml:space="preserve">Marketing &amp; Comms</t>
  </si>
  <si>
    <t xml:space="preserve">Contact, Campaign, Campaign Member</t>
  </si>
  <si>
    <t xml:space="preserve">3.2</t>
  </si>
  <si>
    <t xml:space="preserve">R. Alvarado</t>
  </si>
  <si>
    <t xml:space="preserve">Email consent state</t>
  </si>
  <si>
    <t xml:space="preserve">One of three Mailchimp rows. Confirm whether these are three vendor accounts or three audiences in one — the answer changes the whole opt-out remediation (D12).</t>
  </si>
  <si>
    <t xml:space="preserve">INT-004</t>
  </si>
  <si>
    <t xml:space="preserve">Greater Giving</t>
  </si>
  <si>
    <t xml:space="preserve">Events</t>
  </si>
  <si>
    <t xml:space="preserve">Contact, Account, Opportunity, Payment, Campaign Member</t>
  </si>
  <si>
    <t xml:space="preserve">Yes</t>
  </si>
  <si>
    <t xml:space="preserve">ad_hoc</t>
  </si>
  <si>
    <t xml:space="preserve">1.8</t>
  </si>
  <si>
    <t xml:space="preserve">Payment data, email/SMS consent</t>
  </si>
  <si>
    <t xml:space="preserve">Consolidated from two rows. One matching configuration now serves both units, which removes a duplicate-create path. Unresolved: who owns a sponsorship Opportunity, Events or Development.</t>
  </si>
  <si>
    <t xml:space="preserve">INT-005</t>
  </si>
  <si>
    <t xml:space="preserve">Mailchimp — Events</t>
  </si>
  <si>
    <t xml:space="preserve">Second opt-out writer. See D12.</t>
  </si>
  <si>
    <t xml:space="preserve">INT-006</t>
  </si>
  <si>
    <t xml:space="preserve">Student Information System</t>
  </si>
  <si>
    <t xml:space="preserve">SIS</t>
  </si>
  <si>
    <t xml:space="preserve">Registrar Office</t>
  </si>
  <si>
    <t xml:space="preserve">sftp_file</t>
  </si>
  <si>
    <t xml:space="preserve">Contact, Account, Program Enrollment, Address</t>
  </si>
  <si>
    <t xml:space="preserve">semiannual</t>
  </si>
  <si>
    <t xml:space="preserve">2.0</t>
  </si>
  <si>
    <t xml:space="preserve">D. Whitfield</t>
  </si>
  <si>
    <t xml:space="preserve">FERPA education records, grades, application data</t>
  </si>
  <si>
    <t xml:space="preserve">Highest-severity item in the register. Attested 9 May, modified 11 May, loaded 26 May — the mapping that ran was not the mapping that was reviewed. Scope to directory information plus degree and graduation only (D3).</t>
  </si>
  <si>
    <t xml:space="preserve">INT-007</t>
  </si>
  <si>
    <t xml:space="preserve">Mailchimp — Registrar</t>
  </si>
  <si>
    <t xml:space="preserve">3.1</t>
  </si>
  <si>
    <t xml:space="preserve">Email consent state, student email</t>
  </si>
  <si>
    <t xml:space="preserve">Third opt-out writer, and it has not run since 22 Jul. Ask first why the Registrar owns a marketing email pipeline.</t>
  </si>
  <si>
    <t xml:space="preserve">INT-008</t>
  </si>
  <si>
    <t xml:space="preserve">Gravyty — Giving Day</t>
  </si>
  <si>
    <t xml:space="preserve">Gravyty</t>
  </si>
  <si>
    <t xml:space="preserve">Contact, Account, Opportunity, Campaign Member</t>
  </si>
  <si>
    <t xml:space="preserve">1.2</t>
  </si>
  <si>
    <t xml:space="preserve">M. Sekulovic</t>
  </si>
  <si>
    <t xml:space="preserve">Gift and donor data</t>
  </si>
  <si>
    <t xml:space="preserve">Annual single-day burst. Attested two days before Giving Day, then modified the day after — the exact pattern the attestation column exists to catch.</t>
  </si>
  <si>
    <t xml:space="preserve">INT-009</t>
  </si>
  <si>
    <t xml:space="preserve">iWave — prospect screening</t>
  </si>
  <si>
    <t xml:space="preserve">iWave</t>
  </si>
  <si>
    <t xml:space="preserve">Contact, custom rating fields</t>
  </si>
  <si>
    <t xml:space="preserve">quarterly</t>
  </si>
  <si>
    <t xml:space="preserve">1.0</t>
  </si>
  <si>
    <t xml:space="preserve">Purchased/inferred wealth data</t>
  </si>
  <si>
    <t xml:space="preserve">Appended third-party data. Must live in fields visibly distinct from self-reported figures. Mapping untouched for two years.</t>
  </si>
  <si>
    <t xml:space="preserve">Integrations (was 11 instances)</t>
  </si>
  <si>
    <t xml:space="preserve">Shared across two units</t>
  </si>
  <si>
    <t xml:space="preserve">Never attested</t>
  </si>
  <si>
    <t xml:space="preserve">Unattested change in production</t>
  </si>
  <si>
    <t xml:space="preserve">Contact-create paths (was 4)</t>
  </si>
  <si>
    <t xml:space="preserve">Tier 1 risk</t>
  </si>
  <si>
    <t xml:space="preserve">Unit</t>
  </si>
  <si>
    <t xml:space="preserve">Role</t>
  </si>
  <si>
    <t xml:space="preserve">Sees on their dashboard</t>
  </si>
  <si>
    <t xml:space="preserve">Can change the mapping?</t>
  </si>
  <si>
    <t xml:space="preserve">Primary owner</t>
  </si>
  <si>
    <t xml:space="preserve">Yes, with Development sign-off</t>
  </si>
  <si>
    <t xml:space="preserve">Shared vendor account</t>
  </si>
  <si>
    <t xml:space="preserve">Sole owner</t>
  </si>
  <si>
    <t xml:space="preserve">Mailchimp — MarComm</t>
  </si>
  <si>
    <t xml:space="preserve">Designated single writer for email opt-out, pending D2</t>
  </si>
  <si>
    <t xml:space="preserve">Read-only on opt-out once D2 lands</t>
  </si>
  <si>
    <t xml:space="preserve">No — central + counsel</t>
  </si>
  <si>
    <t xml:space="preserve">FERPA scope is not a unit decision</t>
  </si>
  <si>
    <t xml:space="preserve">Secondary owner</t>
  </si>
  <si>
    <t xml:space="preserve">Yes, with Alumni Relations sign-off</t>
  </si>
  <si>
    <t xml:space="preserve">Yes, with Events sign-off</t>
  </si>
  <si>
    <t xml:space="preserve">A shared integration appears on both units' dashboards. Defects and run outcomes are attributed to the unit whose event or campaign produced the rows, not to the primary owner — otherwise Events would carry every Development gala record and the scores would be meaningless.</t>
  </si>
  <si>
    <t xml:space="preserve">Requirement</t>
  </si>
  <si>
    <t xml:space="preserve">Applies to</t>
  </si>
  <si>
    <t xml:space="preserve">What gets built</t>
  </si>
  <si>
    <t xml:space="preserve">Acceptance criteria</t>
  </si>
  <si>
    <t xml:space="preserve">Owner</t>
  </si>
  <si>
    <t xml:space="preserve">Due</t>
  </si>
  <si>
    <t xml:space="preserve">Why it cannot wait</t>
  </si>
  <si>
    <t xml:space="preserve">BR-1</t>
  </si>
  <si>
    <t xml:space="preserve">Provenance on every record from day one</t>
  </si>
  <si>
    <t xml:space="preserve">Proposed</t>
  </si>
  <si>
    <t xml:space="preserve">All integrations</t>
  </si>
  <si>
    <t xml:space="preserve">Source_System__c (picklist), Created_By_Run__c and Last_Integration_Update__c (Lookups to Integration_Run__c), and Source_Record_Id__c as a unique External ID, on Contact, Account and Opportunity. Plus a dedicated Salesforce integration user per pipeline, so CreatedById is provenance for free on every object.</t>
  </si>
  <si>
    <t xml:space="preserve">100% of records created by an integration user in the trailing 7 days carry a non-null Source_System__c and Created_By_Run__c. Rule C10 reports the residue and must trend to zero.</t>
  </si>
  <si>
    <t xml:space="preserve">Cannot be applied retroactively. Without it every defect is orphaned - you can count problems forever and never attribute them to a unit or a pipeline. Three things on the boards exist only because of it: human-account write detection, defect attribution, and the unit scores.</t>
  </si>
  <si>
    <t xml:space="preserve">BR-2</t>
  </si>
  <si>
    <t xml:space="preserve">Mandatory intake for manual uploads</t>
  </si>
  <si>
    <t xml:space="preserve">Any load not run by an integration user</t>
  </si>
  <si>
    <t xml:space="preserve">Preferred path: manual files routed through an Omatic file-import profile so the run is logged structurally. Exception path: a Screen Flow capturing submitter, unit, purpose, target objects, source file and row count, which creates the Integration_Run__c and returns its ID. Data Loader access restricted to trained users.</t>
  </si>
  <si>
    <t xml:space="preserve">Zero Contact or Opportunity records created in a 30-day window by a named human account with no associated Integration_Run__c. Any that appear are reported as an exception with the person named.</t>
  </si>
  <si>
    <t xml:space="preserve">A manual CSV leaves no trace. Without this the seven-day log is systematically biased toward the well-behaved pipelines and excludes the activity most likely to cause damage - ad hoc, unmapped, unreviewed, unowned.</t>
  </si>
  <si>
    <t xml:space="preserve">BR-3</t>
  </si>
  <si>
    <t xml:space="preserve">Expected next run date set as the closing step of every bursty run</t>
  </si>
  <si>
    <t xml:space="preserve">Greater Giving, SIS, Gravyty, iWave</t>
  </si>
  <si>
    <t xml:space="preserve">Expected_Next_Run__c on Integration_Definition__c. Staleness for these four derives from that date rather than cadence. The run cannot be marked complete until the field is set - enforce with a validation rule on Integration_Run__c.Status = Complete.</t>
  </si>
  <si>
    <t xml:space="preserve">All four low-frequency integrations carry a future Expected_Next_Run__c at all times. The board shows 'NO NEXT DATE SET' rather than silently passing when blank.</t>
  </si>
  <si>
    <t xml:space="preserve">Four of nine integrations run in bursts. Cadence-based staleness would show 44% of the register permanently red, which teaches people that red means nothing and destroys the most valuable panel in the suite. Close of run is the only moment anyone knows the answer.</t>
  </si>
  <si>
    <t xml:space="preserve">BR-4</t>
  </si>
  <si>
    <t xml:space="preserve">Three-bucket outcome model</t>
  </si>
  <si>
    <t xml:space="preserve">Every run, every dashboard</t>
  </si>
  <si>
    <t xml:space="preserve">Records_Rejected__c (did not load), Records_Loaded_With_Warning__c (loaded carrying a known S1 defect), Records_Loaded_Clean__c. The warning bucket is populated by evaluating the S1 rule set at load time, not overnight, so the defect is written with Introduced_By_Run__c already populated.</t>
  </si>
  <si>
    <t xml:space="preserve">Rejected + warned + clean + unchanged + skipped = rows in file, on every run, with no residual. All three columns shown; no single 'success' figure reported anywhere.</t>
  </si>
  <si>
    <t xml:space="preserve">Two buckets produce a log reporting 99.6% success while the defect backlog grows. The warning bucket is the join between the pipeline dashboards and the data health dashboard - without it those two halves contradict each other in public, and defect attribution does not work at all.</t>
  </si>
  <si>
    <t xml:space="preserve">BR-5</t>
  </si>
  <si>
    <t xml:space="preserve">Student ID crosswalk on the graduate import</t>
  </si>
  <si>
    <t xml:space="preserve">Graduate import (INT-006)</t>
  </si>
  <si>
    <t xml:space="preserve">SIS student ID stored on Contact as a unique External ID at first load, with Omatic configured to key on it before any name or date-of-birth fallback. Name/DOB drops to tier B and C only.</t>
  </si>
  <si>
    <t xml:space="preserve">100% of Contacts created or updated by the graduate import carry a student ID. Rule U7 trends to zero. The December cycle runs as an upsert, not a fresh match.</t>
  </si>
  <si>
    <t xml:space="preserve">Currently zero of 3,959 loaded graduates carry one, which is 2,168 open defects from a single run. Blocking for December: retrofitting after another name-and-DOB load costs more than building it now, and 44% of each incoming cohort already exists in Salesforce, so weak matching makes this the largest single source of duplicates.</t>
  </si>
  <si>
    <t xml:space="preserve">BR-6</t>
  </si>
  <si>
    <t xml:space="preserve">Attestation as a record, not a checkbox</t>
  </si>
  <si>
    <t xml:space="preserve">Two independent dates - Mapping_Last_Modified__c from Omatic and Mapping_Last_Attested__c from a human - plus the version reviewed, the reviewer, the method used (visual check / sample record trace / sandbox round-trip) and any accepted exceptions. Attestation history retained.</t>
  </si>
  <si>
    <t xml:space="preserve">Every integration carries both dates or an explicit 'never attested'. The register flags any row where modified is later than attested.</t>
  </si>
  <si>
    <t xml:space="preserve">Tracking only 'last modified' inverts the signal: a mapping changed last week reads as current when it is unreviewed. Three of nine integrations are currently in that state, including the one that loaded 4,102 graduates two days after being modified. A checkbox gets clicked reflexively; a form asking for version and method does not.</t>
  </si>
  <si>
    <t xml:space="preserve">BR-7</t>
  </si>
  <si>
    <t xml:space="preserve">Source and target schema fingerprinting</t>
  </si>
  <si>
    <t xml:space="preserve">On every run, capture the field list the source returned and diff against Source_Schema_Fingerprint__c. Separately, for each mapped Salesforce field capture API name, type, required flag and active picklist values, and diff against last known good.</t>
  </si>
  <si>
    <t xml:space="preserve">Drift raised within one run of a source or target change, with the changed fields named. Acknowledge-and-refingerprint clears it.</t>
  </si>
  <si>
    <t xml:space="preserve">Neither kind of drift throws an error. A source adding a field means the integration runs green while dropping data; a unit admin tightening a validation rule or picklist breaks it from the target end, which is the more common outage in a Salesforce org. A semiannual review finds these up to six months late.</t>
  </si>
  <si>
    <t xml:space="preserve">BR-8</t>
  </si>
  <si>
    <t xml:space="preserve">Rolling create:update baseline per integration</t>
  </si>
  <si>
    <t xml:space="preserve">All integrations that create Contacts</t>
  </si>
  <si>
    <t xml:space="preserve">Store Contacts_Created__c and Contacts_Updated__c as separate counters on every run and maintain a trailing six-run mean of the ratio per integration, with a per-integration variance threshold (default 100%).</t>
  </si>
  <si>
    <t xml:space="preserve">Every run has a computed ratio and a variance figure against its own history. Alerts suppressible per run with a reason, never per integration.</t>
  </si>
  <si>
    <t xml:space="preserve">This is the only detection for matching logic failing silently. The run completes, status is success, error count is zero and correctly so. Roll created and updated into a single 'records processed' figure to save a column and the alarm becomes unbuildable - there is nothing left to compare.</t>
  </si>
  <si>
    <t xml:space="preserve">BR-9</t>
  </si>
  <si>
    <t xml:space="preserve">Error category normalisation table</t>
  </si>
  <si>
    <t xml:space="preserve">Exception logging</t>
  </si>
  <si>
    <t xml:space="preserve">A maintained pattern-to-category map producing a controlled set: validation_rule_violation, required_field_null, picklist_value_invalid, duplicate_rule_blocked, field_level_security, lookup_target_missing, matching_ambiguity, datatype_or_format, api_limit_or_timeout, unclassified.</t>
  </si>
  <si>
    <t xml:space="preserve">Unclassified rate below 5% and trending down. Aggregated error view resolves raw messages to categories with counts, first seen and last seen.</t>
  </si>
  <si>
    <t xml:space="preserve">Raw vendor and Salesforce error strings are unaggregatable - 340 distinct messages are really six problems. Without the map the panel shows hundreds of one-off rows and nobody can tell which is systemic. The unclassified rate is the maintenance signal for the table itself.</t>
  </si>
  <si>
    <t xml:space="preserve">BR-10</t>
  </si>
  <si>
    <t xml:space="preserve">Acknowledged-exception suppression on every defect rule</t>
  </si>
  <si>
    <t xml:space="preserve">Data health rule library</t>
  </si>
  <si>
    <t xml:space="preserve">Status values open / remediated / acknowledged_exception on Data_Health_Defect__c, plus Suppressed_Until__c, Suppression_Reason__c and Suppressed_By__c. Suppressed defects excluded from worklists but counted separately.</t>
  </si>
  <si>
    <t xml:space="preserve">Every rule supports suppression. No worklist contains a record already reviewed and accepted. Suppression volume reported alongside backlog.</t>
  </si>
  <si>
    <t xml:space="preserve">Some defects genuinely cannot or should not be fixed. Without this the same few hundred unfixable records appear on every monthly report, staff learn within two cycles that the list contains known noise, and then miss the new items among the old. This is the commonest cause of death for data health programmes and costs almost nothing to prevent.</t>
  </si>
  <si>
    <t xml:space="preserve">BR-11</t>
  </si>
  <si>
    <t xml:space="preserve">Segmented pre-load gate and an owned tier-C hold queue</t>
  </si>
  <si>
    <t xml:space="preserve">Block the load when ANY school, degree level or term segment varies from the registrar's independently sourced count by more than tolerance - not when the file total does. Four-tier matching with tier C (possible match) held for human review, assigned to a named owner with an SLA.</t>
  </si>
  <si>
    <t xml:space="preserve">No load proceeds with an unexplained segment variance. Tier C queue has an owner and an age limit; nothing auto-creates or auto-merges from tier C.</t>
  </si>
  <si>
    <t xml:space="preserve">Spring 2026 aggregate variance was -2.0%, inside any file-level threshold, while Education was 23.7% short - 66 doctoral graduates would have been silently absent. Small segments cannot be defended by aggregate checks; the arithmetic hides them by design. The 143 currently held have been open 81 days with no assignee.</t>
  </si>
  <si>
    <t xml:space="preserve">BR-12</t>
  </si>
  <si>
    <t xml:space="preserve">Dual-owner countersign on shared integrations</t>
  </si>
  <si>
    <t xml:space="preserve">Gratavid (INT-001), Greater Giving (INT-004)</t>
  </si>
  <si>
    <t xml:space="preserve">Primary and secondary business owner fields on Integration_Definition__c. Primary holds the mapping; secondary countersigns any change. Both units see the integration on their unit board. Rows and defects attribute to the unit whose event or campaign produced them, not to the primary owner.</t>
  </si>
  <si>
    <t xml:space="preserve">No mapping change deployed on a shared integration without both owners recorded. Both units' boards show the integration with the correct ownership label.</t>
  </si>
  <si>
    <t xml:space="preserve">One vendor account recorded twice means two mappings that drift apart and two matching configurations against one source. Consolidating removed a Contact-create path outright. Without the countersign rule, consolidation just moves the conflict from two mappings to one contested one.</t>
  </si>
  <si>
    <t xml:space="preserve">All twelve are proposed. A requirement has an acceptance test; a decision has a person. Anything on this tab that cannot be tested belongs on Implementation Decisions instead.</t>
  </si>
  <si>
    <t xml:space="preserve">Alert</t>
  </si>
  <si>
    <t xml:space="preserve">Logic</t>
  </si>
  <si>
    <t xml:space="preserve">What it catches</t>
  </si>
  <si>
    <t xml:space="preserve">What it would look like without this check</t>
  </si>
  <si>
    <t xml:space="preserve">Fires on</t>
  </si>
  <si>
    <t xml:space="preserve">False positive risk</t>
  </si>
  <si>
    <t xml:space="preserve">Flag when Mapping_Last_Modified__c &gt; Mapping_Last_Attested__c. Two independent dates: modified comes from Omatic, attested is entered by a human who compared the live mapping to the documented spec and signed the version number and the review method.</t>
  </si>
  <si>
    <t xml:space="preserve">A mapping that was reviewed, then changed afterwards, and is now running unreviewed. Three of nine integrations are in this state — including the SIS pipeline, which was attested on 9 May, modified on 11 May, and loaded 4,102 graduates on 26 May. The mapping that ran was not the mapping that was reviewed.</t>
  </si>
  <si>
    <t xml:space="preserve">Tracking only 'last modified' inverts the signal. A mapping changed last week reads as fresh and current when it is actually unreviewed; a mapping untouched for three years reads as stale when it may be perfectly correct. Neither state is distinguishable from the other with one date, so the whole check silently does nothing.</t>
  </si>
  <si>
    <t xml:space="preserve">Nightly</t>
  </si>
  <si>
    <t xml:space="preserve">Low. A reviewer who attests without checking defeats it, which is why the attestation form captures the method used, not just a checkbox.</t>
  </si>
  <si>
    <t xml:space="preserve">Source schema drift</t>
  </si>
  <si>
    <t xml:space="preserve">On every run, capture the field list the source returned and diff against Source_Schema_Fingerprint__c from the last successful run. Any addition, removal or rename raises drift.</t>
  </si>
  <si>
    <t xml:space="preserve">A source system quietly adding or renaming a field. Greater Giving added a 'Platinum Plus' sponsorship tier; the integration kept running and dropped it.</t>
  </si>
  <si>
    <t xml:space="preserve">No error is thrown. The integration runs green while losing data, and the loss is only found when someone looks for a record that should exist. A semiannual mapping review would find it up to six months later.</t>
  </si>
  <si>
    <t xml:space="preserve">Every run</t>
  </si>
  <si>
    <t xml:space="preserve">Low, but noisy if the source adds fields often. Acknowledge-and-fingerprint resets it.</t>
  </si>
  <si>
    <t xml:space="preserve">Target schema drift</t>
  </si>
  <si>
    <t xml:space="preserve">Same diff on the Salesforce side: for each mapped field, API name, type, required flag, and for picklists the active value set. Compare to the last known good.</t>
  </si>
  <si>
    <t xml:space="preserve">A unit admin tightening a validation rule, changing a picklist, or altering field-level security on the integration user's profile. This broke INT-007 on 22 July.</t>
  </si>
  <si>
    <t xml:space="preserve">The integration fails from the target end with no source-side change, so every investigation starts by looking in the wrong place. In a Salesforce org this is the single most common cause of integration outage.</t>
  </si>
  <si>
    <t xml:space="preserve">Low.</t>
  </si>
  <si>
    <t xml:space="preserve">Create : update ratio canary</t>
  </si>
  <si>
    <t xml:space="preserve">Per run, Contacts_Created / Contacts_Updated. Compare to the trailing 6-run average for the same integration. Alert above a per-integration variance threshold, default 100%.</t>
  </si>
  <si>
    <t xml:space="preserve">Matching logic silently failing. When a matching key stops resolving, the pipeline stops recognising existing constituents and starts creating them instead. INT-004 on 12 Aug: ratio 1.23 against a trailing average of 0.31, +297%. 214 Contacts created where roughly 55 were expected.</t>
  </si>
  <si>
    <t xml:space="preserve">THIS IS THE ONE THAT MATTERS. Every conventional check passes: the run completed, status is success, the error count is zero, row counts look normal. Nothing is rejected because nothing failed — the pipeline did exactly what it was told, against a broken key. The damage is 160 duplicate constituents that will be found months later by a gift officer, or never. There is no error to detect because no error occurred; the only signal is the shape of the output compared to its own history.</t>
  </si>
  <si>
    <t xml:space="preserve">Medium. A legitimately new audience — a first-time event, an acquisition list — will trip it. That is the correct behaviour: those runs deserve a look. Suppress per-run with a reason, never per-integration.</t>
  </si>
  <si>
    <t xml:space="preserve">Stale integration</t>
  </si>
  <si>
    <t xml:space="preserve">For scheduled integrations: days since last successful run &gt; cadence + grace. For the four bursty integrations: TODAY() &gt; Expected_Next_Run__c, or the field is blank.</t>
  </si>
  <si>
    <t xml:space="preserve">An integration that stopped firing. INT-007 last succeeded on 22 July — 23 days of Registrar email engagement data missing.</t>
  </si>
  <si>
    <t xml:space="preserve">A stopped integration writes no rows and no errors. Absence of data generates nothing to alert on, so it is invisible by construction. It has to be derived from an expectation, which is why expected cadence is a required field and BR-3 exists.</t>
  </si>
  <si>
    <t xml:space="preserve">Hourly</t>
  </si>
  <si>
    <t xml:space="preserve">Low once BR-3 is in place. High without it — four of nine would show permanently red.</t>
  </si>
  <si>
    <t xml:space="preserve">Zero-row success</t>
  </si>
  <si>
    <t xml:space="preserve">Run status = success AND rows in file = 0.</t>
  </si>
  <si>
    <t xml:space="preserve">A broken filter, an expired token failing soft, or an empty source query. INT-009 on 1 July.</t>
  </si>
  <si>
    <t xml:space="preserve">Reports as green on every conventional chart and contributes a clean run to the reliability average, actively improving the score while doing nothing.</t>
  </si>
  <si>
    <t xml:space="preserve">Low. Legitimate for genuinely quiet periods — suppress with a reason.</t>
  </si>
  <si>
    <t xml:space="preserve">Rows per unique person</t>
  </si>
  <si>
    <t xml:space="preserve">Rows in file / unique persons in file, compared to the integration's own baseline.</t>
  </si>
  <si>
    <t xml:space="preserve">A join that fanned out in the source extract, or a legitimate multi-item event file. INT-004 on 12 Aug: 1.58 against a baseline of 1.12.</t>
  </si>
  <si>
    <t xml:space="preserve">Row counts alone look plausible. The inflation is only visible against the person count, which is why both are captured per run rather than just the row total.</t>
  </si>
  <si>
    <t xml:space="preserve">Medium. Event and multi-gift files legitimately vary.</t>
  </si>
  <si>
    <t xml:space="preserve">Loaded with warning</t>
  </si>
  <si>
    <t xml:space="preserve">At load time, evaluate the S1 rule set against each row that passed. Increment Records_Loaded_With_Warning__c and write a Data_Health_Defect__c with Introduced_By_Run__c populated.</t>
  </si>
  <si>
    <t xml:space="preserve">Rows that loaded successfully but carry a governance defect — no constituency, no preferred email, no GAU allocation, blank household greeting.</t>
  </si>
  <si>
    <t xml:space="preserve">With two buckets these count as clean successes. The log reports 99.6% while the backlog grows, and the two dashboards contradict each other. It also destroys attribution: a defect found in November cannot be traced to the May run that introduced it.</t>
  </si>
  <si>
    <t xml:space="preserve">None — it is a definitional bucket, not a heuristic.</t>
  </si>
  <si>
    <t xml:space="preserve">Human-account bulk write</t>
  </si>
  <si>
    <t xml:space="preserve">Records created or updated by a User who is not an integration user, above a threshold in a single hour, with no Integration_Run__c.</t>
  </si>
  <si>
    <t xml:space="preserve">Data Loader and import wizard sessions that bypass the middleware entirely. 10 Aug: 1,847 rows, 1,203 Contacts created, 235 rejected, no mapping, no owner.</t>
  </si>
  <si>
    <t xml:space="preserve">Completely invisible. There is no log, no run record, no mapping and no error report — the records simply appear. This check only exists because BR-1 gives every integration its own user, which makes a human write detectable by contrast.</t>
  </si>
  <si>
    <t xml:space="preserve">Low. Legitimate admin work will trip it occasionally and should.</t>
  </si>
  <si>
    <t xml:space="preserve">Multi-writer field conflict</t>
  </si>
  <si>
    <t xml:space="preserve">Static analysis of Field_Mapping__c: count integrations writing each target field. Any count &gt; 1 without a designated single writer is a conflict.</t>
  </si>
  <si>
    <t xml:space="preserve">Five pipelines writing the email opt-out field. The last one to run wins.</t>
  </si>
  <si>
    <t xml:space="preserve">Nothing detects this at runtime — every write succeeds. It is only visible from outside the system, when someone who unsubscribed receives another email, which is also the moment it becomes a compliance problem rather than a data one.</t>
  </si>
  <si>
    <t xml:space="preserve">On mapping change</t>
  </si>
  <si>
    <t xml:space="preserve">None — it is derived from configuration, not data.</t>
  </si>
  <si>
    <t xml:space="preserve">Component</t>
  </si>
  <si>
    <t xml:space="preserve">Weight</t>
  </si>
  <si>
    <t xml:space="preserve">What it measures</t>
  </si>
  <si>
    <t xml:space="preserve">Formula</t>
  </si>
  <si>
    <t xml:space="preserve">Normalised by</t>
  </si>
  <si>
    <t xml:space="preserve">Why this component</t>
  </si>
  <si>
    <t xml:space="preserve">Known distortion</t>
  </si>
  <si>
    <t xml:space="preserve">Integration reliability</t>
  </si>
  <si>
    <t xml:space="preserve">Are this unit's pipelines running, current, and attested</t>
  </si>
  <si>
    <t xml:space="preserve">Mean of: successful-run rate (7d), 100 if no stale integrations else 0 per integration, and attestation currency (100 current / 50 attested-but-modified / 0 never attested), averaged across the unit's integrations.</t>
  </si>
  <si>
    <t xml:space="preserve">Per integration, not per row</t>
  </si>
  <si>
    <t xml:space="preserve">The only component the unit fully controls without touching a single record. It rewards keeping mappings reviewed and noticing when something stops.</t>
  </si>
  <si>
    <t xml:space="preserve">A unit with one integration swings wildly on a single event. Report the component count alongside the score.</t>
  </si>
  <si>
    <t xml:space="preserve">Record completeness</t>
  </si>
  <si>
    <t xml:space="preserve">Share of the unit's attributed records free of S1 defects</t>
  </si>
  <si>
    <t xml:space="preserve">1 − (records with &gt;=1 open S1 defect / records attributed to the unit). Attribution via Source_System__c and Created_By_Run__c.</t>
  </si>
  <si>
    <t xml:space="preserve">Per record</t>
  </si>
  <si>
    <t xml:space="preserve">The closest thing to a direct measure of data quality, and the one that maps to a worklist the unit can actually work.</t>
  </si>
  <si>
    <t xml:space="preserve">Legacy defects predating provenance are unattributable and sit outside every unit's denominator. Until BR-1 has a year of history this component measures recent work only — say so on the dashboard.</t>
  </si>
  <si>
    <t xml:space="preserve">Defect introduction rate</t>
  </si>
  <si>
    <t xml:space="preserve">New S1 defects created per 1,000 records touched, trailing 30 days</t>
  </si>
  <si>
    <t xml:space="preserve">1 − min(1, new S1 defects 30d / (records touched 30d / 1000) / ceiling). Ceiling set per unit type after baselining.</t>
  </si>
  <si>
    <t xml:space="preserve">Per 1,000 records touched</t>
  </si>
  <si>
    <t xml:space="preserve">The governance metric. It answers whether the problem is still being created, which backlog size cannot. A unit cleaning hard while its pipeline refills the bucket looks good on backlog and bad here — correctly.</t>
  </si>
  <si>
    <t xml:space="preserve">Bursty pipelines concentrate a year of defects into one afternoon. Registrar scores 22 on this from a single semiannual load. Volume normalisation helps but does not fix it — see the note below.</t>
  </si>
  <si>
    <t xml:space="preserve">Remediation responsiveness</t>
  </si>
  <si>
    <t xml:space="preserve">Are open S1 defects being worked</t>
  </si>
  <si>
    <t xml:space="preserve">1 − (open S1 defects aged &gt; 30 days / total open S1 defects).</t>
  </si>
  <si>
    <t xml:space="preserve">Per defect</t>
  </si>
  <si>
    <t xml:space="preserve">Separates units with a big inherited backlog they are working from units with a small backlog they are ignoring.</t>
  </si>
  <si>
    <t xml:space="preserve">Rewards closing easy defects first. Pair with a severity-weighted view before this drives anything consequential.</t>
  </si>
  <si>
    <t xml:space="preserve">Bands</t>
  </si>
  <si>
    <t xml:space="preserve">A</t>
  </si>
  <si>
    <t xml:space="preserve">90–100</t>
  </si>
  <si>
    <t xml:space="preserve">No open S1 alerts, all mappings attested within cycle</t>
  </si>
  <si>
    <t xml:space="preserve">B</t>
  </si>
  <si>
    <t xml:space="preserve">75–89</t>
  </si>
  <si>
    <t xml:space="preserve">Healthy. Worklist is short and current.</t>
  </si>
  <si>
    <t xml:space="preserve">C</t>
  </si>
  <si>
    <t xml:space="preserve">60–74</t>
  </si>
  <si>
    <t xml:space="preserve">Attention. One structural problem, usually attestation.</t>
  </si>
  <si>
    <t xml:space="preserve">D</t>
  </si>
  <si>
    <t xml:space="preserve">45–59</t>
  </si>
  <si>
    <t xml:space="preserve">At risk. Typically an unattested pipeline that has misbehaved.</t>
  </si>
  <si>
    <t xml:space="preserve">F</t>
  </si>
  <si>
    <t xml:space="preserve">0–44</t>
  </si>
  <si>
    <t xml:space="preserve">Intervene. Central team leads remediation, not the unit.</t>
  </si>
  <si>
    <t xml:space="preserve">Read this before the score is shown to anyone senior.</t>
  </si>
  <si>
    <t xml:space="preserve">A composite score exists to be clicked, not quoted. It compresses four unrelated things into one number, and the compression is where the argument will happen. Three rules: always render the four components beside the composite so the score can be interrogated in the same glance; never publish a cross-unit ranking before every unit has had a worklist and one quiet cycle to act on it; and accept that the two lowest-scoring units under this model — Registrar and Events — do not have a data entry problem. Both run bursty pipelines that introduced thousands of defects in a single afternoon. The score is measuring one bad run, correctly, but a leader reading only the letter grade will conclude something false about the people in those units. If the score cannot be shown with its components, do not show it.</t>
  </si>
  <si>
    <t xml:space="preserve">Cadence</t>
  </si>
  <si>
    <t xml:space="preserve">Basis</t>
  </si>
  <si>
    <t xml:space="preserve">Last successful run</t>
  </si>
  <si>
    <t xml:space="preserve">Expected next run</t>
  </si>
  <si>
    <t xml:space="preserve">Days since</t>
  </si>
  <si>
    <t xml:space="preserve">Stale?</t>
  </si>
  <si>
    <t xml:space="preserve">Set-at-close required?</t>
  </si>
  <si>
    <t xml:space="preserve">Note</t>
  </si>
  <si>
    <t xml:space="preserve">cadence</t>
  </si>
  <si>
    <t xml:space="preserve">expected next</t>
  </si>
  <si>
    <t xml:space="preserve">YES</t>
  </si>
  <si>
    <t xml:space="preserve">BR-3 applies. Next scheduled event 19 Sep. Without a set date, cadence logic would flag this every quiet week and the panel would be ignored.</t>
  </si>
  <si>
    <t xml:space="preserve">BR-3 applies. December commencement. Long dormancy is correct, not a fault.</t>
  </si>
  <si>
    <t xml:space="preserve">STALE. Failed 22 Jul on a field-level security error, then stopped. Nothing alerted because a stopped integration writes no log rows — absence has to be derived.</t>
  </si>
  <si>
    <t xml:space="preserve">BR-3 applies. Annual burst. Set the next date at close of Giving Day or it is forgotten for eleven months.</t>
  </si>
  <si>
    <t xml:space="preserve">BR-3 applies. Also returned zero rows on 1 Jul with status success.</t>
  </si>
  <si>
    <t xml:space="preserve">Salesforce field</t>
  </si>
  <si>
    <t xml:space="preserve">Object</t>
  </si>
  <si>
    <t xml:space="preserve">INT-001 Gratavid</t>
  </si>
  <si>
    <t xml:space="preserve">INT-002 Portal</t>
  </si>
  <si>
    <t xml:space="preserve">INT-003 MC MarComm</t>
  </si>
  <si>
    <t xml:space="preserve">INT-004 GreaterGiving</t>
  </si>
  <si>
    <t xml:space="preserve">INT-005 MC Events</t>
  </si>
  <si>
    <t xml:space="preserve">INT-006 SIS</t>
  </si>
  <si>
    <t xml:space="preserve">INT-007 MC Registrar</t>
  </si>
  <si>
    <t xml:space="preserve">INT-008 Gravyty</t>
  </si>
  <si>
    <t xml:space="preserve">INT-009 iWave</t>
  </si>
  <si>
    <t xml:space="preserve">Writers</t>
  </si>
  <si>
    <t xml:space="preserve">Designated single writer</t>
  </si>
  <si>
    <t xml:space="preserve">Conflict?</t>
  </si>
  <si>
    <t xml:space="preserve">HasOptedOutOfEmail</t>
  </si>
  <si>
    <t xml:space="preserve">Contact</t>
  </si>
  <si>
    <t xml:space="preserve">W</t>
  </si>
  <si>
    <t xml:space="preserve">npsp__Do_Not_Contact__c</t>
  </si>
  <si>
    <t xml:space="preserve">R</t>
  </si>
  <si>
    <t xml:space="preserve">DoNotCall / SMS consent</t>
  </si>
  <si>
    <t xml:space="preserve">npe01__Preferred_Email__c</t>
  </si>
  <si>
    <t xml:space="preserve">npe01__HomeEmail__c</t>
  </si>
  <si>
    <t xml:space="preserve">MobilePhone</t>
  </si>
  <si>
    <t xml:space="preserve">FirstName / LastName</t>
  </si>
  <si>
    <t xml:space="preserve">Title (job title)</t>
  </si>
  <si>
    <t xml:space="preserve">npsp__Address__c (default)</t>
  </si>
  <si>
    <t xml:space="preserve">Address</t>
  </si>
  <si>
    <t xml:space="preserve">Class year</t>
  </si>
  <si>
    <t xml:space="preserve">Student ID (External ID)</t>
  </si>
  <si>
    <t xml:space="preserve">Constituency</t>
  </si>
  <si>
    <t xml:space="preserve">Opportunity Amount</t>
  </si>
  <si>
    <t xml:space="preserve">Opportunity</t>
  </si>
  <si>
    <t xml:space="preserve">Primary Campaign Source</t>
  </si>
  <si>
    <t xml:space="preserve">GAU Allocation</t>
  </si>
  <si>
    <t xml:space="preserve">Allocation</t>
  </si>
  <si>
    <t xml:space="preserve">Capacity rating</t>
  </si>
  <si>
    <t xml:space="preserve">Source_System__c  [BR-1]</t>
  </si>
  <si>
    <t xml:space="preserve">Contact/Acct/Opp</t>
  </si>
  <si>
    <t xml:space="preserve">Created_By_Run__c  [BR-1]</t>
  </si>
  <si>
    <t xml:space="preserve">Consolidating Gratavid and Greater Giving removed writers from the SMS consent, name and address rows. The opt-out conflict is unchanged at five writers and remains the highest-severity finding in the register. Enforce the single writer through field-level security on each integration user's profile rather than through Omatic configuration, so it survives a mapping change made under deadline pressure.</t>
  </si>
  <si>
    <t xml:space="preserve">Finding</t>
  </si>
  <si>
    <t xml:space="preserve">Integrations</t>
  </si>
  <si>
    <t xml:space="preserve">Severity</t>
  </si>
  <si>
    <t xml:space="preserve">Why this is a problem</t>
  </si>
  <si>
    <t xml:space="preserve">Recommended control</t>
  </si>
  <si>
    <t xml:space="preserve">F5</t>
  </si>
  <si>
    <t xml:space="preserve">FERPA records flowing into a five-unit CRM</t>
  </si>
  <si>
    <t xml:space="preserve">Critical</t>
  </si>
  <si>
    <t xml:space="preserve">Open</t>
  </si>
  <si>
    <t xml:space="preserve">Grades, courses and application data have no advancement use case and are readable across an org five units access. A student who filed a directory-information suppression should not reach advancement at all. The mapping that ran on 26 May was also modified two days after it was attested.</t>
  </si>
  <si>
    <t xml:space="preserve">Scope to directory information plus degree and graduation only. Explicit suppression check that drops suppressed students before load. Counsel and Registrar jointly. Blocking for the December cycle.</t>
  </si>
  <si>
    <t xml:space="preserve">F4</t>
  </si>
  <si>
    <t xml:space="preserve">Payment data may be expanding PCI scope</t>
  </si>
  <si>
    <t xml:space="preserve">Greater Giving carries credit card information. A PAN or reusable token crossing into Salesforce puts the entire org in PCI scope — every integration, every user, every backup.</t>
  </si>
  <si>
    <t xml:space="preserve">Confirm at field-mapping level exactly what crosses. Last-4 and a non-reusable transaction reference only. Standing attestation item. Now a single mapping to verify rather than two.</t>
  </si>
  <si>
    <t xml:space="preserve">F1</t>
  </si>
  <si>
    <t xml:space="preserve">Five pipelines write the same email opt-out field</t>
  </si>
  <si>
    <t xml:space="preserve">INT-002, 003, 004, 005, 007</t>
  </si>
  <si>
    <t xml:space="preserve">High</t>
  </si>
  <si>
    <t xml:space="preserve">Opt-out is a single global Contact state written by independently owned pipelines. A MarComm unsubscribe can be reversed by the Events or Registrar sync within hours. Nothing detects this at runtime — every write succeeds. It is visible only from outside, when someone who unsubscribed receives another email.</t>
  </si>
  <si>
    <t xml:space="preserve">Designate one writer per consent field, enforced by field-level security on the integration user profiles. Detection rule E7 on Dashboard 5 reports the residue.</t>
  </si>
  <si>
    <t xml:space="preserve">F3</t>
  </si>
  <si>
    <t xml:space="preserve">Three independent Contact-create paths</t>
  </si>
  <si>
    <t xml:space="preserve">INT-004, 006, 008</t>
  </si>
  <si>
    <t xml:space="preserve">Reduced</t>
  </si>
  <si>
    <t xml:space="preserve">Down from four following the Greater Giving consolidation. Three matching configurations remain, and the two highest-volume ones run unattended in bursts.</t>
  </si>
  <si>
    <t xml:space="preserve">One shared matching configuration, centrally owned. Tier-C possible matches held for review in all three — never auto-create, never auto-merge. Create:update ratio monitored per run.</t>
  </si>
  <si>
    <t xml:space="preserve">F2</t>
  </si>
  <si>
    <t xml:space="preserve">Shared vendor accounts recorded as separate integrations</t>
  </si>
  <si>
    <t xml:space="preserve">INT-001, INT-004</t>
  </si>
  <si>
    <t xml:space="preserve">CLOSED</t>
  </si>
  <si>
    <t xml:space="preserve">Gratavid and Greater Giving were each recorded twice, which meant two mappings that would drift apart and two matching configurations against one source.</t>
  </si>
  <si>
    <t xml:space="preserve">Consolidated to one integration each with a primary and secondary business owner. Mapping changes require both owners' sign-off. Register drops from 11 rows to 9.</t>
  </si>
  <si>
    <t xml:space="preserve">F6</t>
  </si>
  <si>
    <t xml:space="preserve">Bursty integrations break staleness detection</t>
  </si>
  <si>
    <t xml:space="preserve">INT-004, 006, 008, 009</t>
  </si>
  <si>
    <t xml:space="preserve">Medium</t>
  </si>
  <si>
    <t xml:space="preserve">ADDRESSED — BR-3</t>
  </si>
  <si>
    <t xml:space="preserve">Four of nine run in bursts. Cadence-based staleness would show 44% of the register permanently red and teach people that red means nothing.</t>
  </si>
  <si>
    <t xml:space="preserve">Expected_Next_Run__c set as the closing step of every run, enforced by validation rule. Staleness for these four driven from that date.</t>
  </si>
  <si>
    <t xml:space="preserve">F7</t>
  </si>
  <si>
    <t xml:space="preserve">Self-service writes have no review tier</t>
  </si>
  <si>
    <t xml:space="preserve">The Alumni Portal is the only pipeline whose source is thousands of untrained people, and it writes exactly as an API connector does. A portal submission overwriting a mail-verified address is a permanent loss.</t>
  </si>
  <si>
    <t xml:space="preserve">Split the mapping by field risk: auto-apply job title, employer and phone; stage legal name changes and address replacements for review.</t>
  </si>
  <si>
    <t xml:space="preserve">F8</t>
  </si>
  <si>
    <t xml:space="preserve">Manual loads bypass the middleware entirely</t>
  </si>
  <si>
    <t xml:space="preserve">All units</t>
  </si>
  <si>
    <t xml:space="preserve">ADDRESSED — BR-2</t>
  </si>
  <si>
    <t xml:space="preserve">A Data Loader session on 10 Aug created 1,203 Contacts with no mapping, no owner and no run record. It was detectable only because integration users make a human-account write visible by contrast.</t>
  </si>
  <si>
    <t xml:space="preserve">Mandatory intake. Preferred path routes manual files through an Omatic file-import profile so logging is structural rather than dependent on discipline.</t>
  </si>
  <si>
    <t xml:space="preserve">Decision</t>
  </si>
  <si>
    <t xml:space="preserve">Governed by</t>
  </si>
  <si>
    <t xml:space="preserve">Options / recommendation</t>
  </si>
  <si>
    <t xml:space="preserve">Decision recorded</t>
  </si>
  <si>
    <t xml:space="preserve">Date</t>
  </si>
  <si>
    <t xml:space="preserve">Appears on</t>
  </si>
  <si>
    <t xml:space="preserve">D1</t>
  </si>
  <si>
    <t xml:space="preserve">Two buckets or three for run outcomes</t>
  </si>
  <si>
    <t xml:space="preserve">Governed by BR-4</t>
  </si>
  <si>
    <t xml:space="preserve">Three: rejected / loaded with warning / loaded clean. Two buckets report high success while defects accumulate.</t>
  </si>
  <si>
    <t xml:space="preserve">Board 02, 04, 06</t>
  </si>
  <si>
    <t xml:space="preserve">D2</t>
  </si>
  <si>
    <t xml:space="preserve">Designated single writer for each consent field</t>
  </si>
  <si>
    <t xml:space="preserve">OPEN</t>
  </si>
  <si>
    <t xml:space="preserve">MarComm as sole writer with the others read-only is the conventional answer; the alternative is a consent service of record outside all three. Enforce through field-level security on the integration user profiles, not through Omatic config, so it survives a mapping change. Blocks any Mailchimp mapping change.</t>
  </si>
  <si>
    <t xml:space="preserve">Board 01, 05</t>
  </si>
  <si>
    <t xml:space="preserve">D3</t>
  </si>
  <si>
    <t xml:space="preserve">SIS field scope and the FERPA boundary</t>
  </si>
  <si>
    <t xml:space="preserve">Full extract as-is, or directory information plus degree and graduation only. Recommend the latter. A legal decision recorded with counsel's name on it, not a data team preference. Blocking for the December cycle.</t>
  </si>
  <si>
    <t xml:space="preserve">Board 03</t>
  </si>
  <si>
    <t xml:space="preserve">D4</t>
  </si>
  <si>
    <t xml:space="preserve">What payment data may cross from Greater Giving into Salesforce</t>
  </si>
  <si>
    <t xml:space="preserve">Last-4 plus a non-reusable transaction reference only, versus the current unverified state. A PAN or reusable token crossing puts the whole org in PCI scope. Confirm before the 19 Sep event.</t>
  </si>
  <si>
    <t xml:space="preserve">Board 01</t>
  </si>
  <si>
    <t xml:space="preserve">D5</t>
  </si>
  <si>
    <t xml:space="preserve">One Greater Giving pipeline or two</t>
  </si>
  <si>
    <t xml:space="preserve">Governed by BR-12</t>
  </si>
  <si>
    <t xml:space="preserve">Consolidated to one integration with a primary and secondary owner. BR-12 supplies the countersign rule that keeps the single mapping from becoming a contested one.</t>
  </si>
  <si>
    <t xml:space="preserve">Board 01, 02</t>
  </si>
  <si>
    <t xml:space="preserve">D6</t>
  </si>
  <si>
    <t xml:space="preserve">Manual upload intake mandatory or advisory</t>
  </si>
  <si>
    <t xml:space="preserve">Governed by BR-2</t>
  </si>
  <si>
    <t xml:space="preserve">Mandatory. Manual files route through an Omatic file-import profile; Screen Flow is the exception path.</t>
  </si>
  <si>
    <t xml:space="preserve">Board 04</t>
  </si>
  <si>
    <t xml:space="preserve">D7</t>
  </si>
  <si>
    <t xml:space="preserve">Provenance stamping and dedicated integration users</t>
  </si>
  <si>
    <t xml:space="preserve">Governed by BR-1</t>
  </si>
  <si>
    <t xml:space="preserve">Run ID and source system on every record from day one, one integration user per pipeline.</t>
  </si>
  <si>
    <t xml:space="preserve">Board 04, 05, 06</t>
  </si>
  <si>
    <t xml:space="preserve">D8</t>
  </si>
  <si>
    <t xml:space="preserve">Alumni Portal fields that auto-apply versus stage for review</t>
  </si>
  <si>
    <t xml:space="preserve">Field by field. At minimum, address replacement and legal name change should stage - a portal submission overwriting a mail-verified address is a permanent loss.</t>
  </si>
  <si>
    <t xml:space="preserve">Board 02</t>
  </si>
  <si>
    <t xml:space="preserve">D9</t>
  </si>
  <si>
    <t xml:space="preserve">Whether unit scores and error rates are published across units</t>
  </si>
  <si>
    <t xml:space="preserve">Recommend worklists first and comparison after one quiet cycle. The two lowest-scoring units run bursty pipelines and do not have a data entry problem; that distinction will not survive a slide.</t>
  </si>
  <si>
    <t xml:space="preserve">Board 06</t>
  </si>
  <si>
    <t xml:space="preserve">D10</t>
  </si>
  <si>
    <t xml:space="preserve">Omatic DBA Assistant licensing on a Salesforce-target subscription</t>
  </si>
  <si>
    <t xml:space="preserve">Confirm inclusion and tier in writing. If not included, remediation moves to Flow and Data Loader - slower to build, but no rules are lost and detection is unaffected.</t>
  </si>
  <si>
    <t xml:space="preserve">Board 05</t>
  </si>
  <si>
    <t xml:space="preserve">D11</t>
  </si>
  <si>
    <t xml:space="preserve">Expected next run date for bursty integrations</t>
  </si>
  <si>
    <t xml:space="preserve">Governed by BR-3</t>
  </si>
  <si>
    <t xml:space="preserve">Set as the closing step of every run for Greater Giving, SIS, Gravyty and iWave, enforced by validation rule.</t>
  </si>
  <si>
    <t xml:space="preserve">D12</t>
  </si>
  <si>
    <t xml:space="preserve">Are the three Mailchimp rows three vendor accounts or one with three audiences</t>
  </si>
  <si>
    <t xml:space="preserve">If one account, the register drops to seven rows and the opt-out conflict becomes a configuration problem rather than a governance one. Consolidating Gratavid and Greater Giving but not Mailchimp is only consistent if these genuinely are separate accounts. Answer in the first two interviews.</t>
  </si>
  <si>
    <t xml:space="preserve">D13</t>
  </si>
  <si>
    <t xml:space="preserve">Primary business owner for the shared Gratavid integration</t>
  </si>
  <si>
    <t xml:space="preserve">Recorded provisionally as Alumni Relations. Whoever is primary holds the mapping and calls the sign-off; the other countersigns changes.</t>
  </si>
  <si>
    <t xml:space="preserve">D14</t>
  </si>
  <si>
    <t xml:space="preserve">Sponsorship Opportunity ownership on the shared Greater Giving pipeline</t>
  </si>
  <si>
    <t xml:space="preserve">One matching config now serves both units. Still unresolved which unit owns a sponsorship record and therefore carries its defects in the scorecard.</t>
  </si>
  <si>
    <t xml:space="preserve">Board 02, 06</t>
  </si>
  <si>
    <t xml:space="preserve">D15</t>
  </si>
  <si>
    <t xml:space="preserve">Student ID crosswalk - build now or defer past December</t>
  </si>
  <si>
    <t xml:space="preserve">Governed by BR-5</t>
  </si>
  <si>
    <t xml:space="preserve">Build now. Deferring is the choice that gets made under load, which is why it is recorded here rather than assumed.</t>
  </si>
  <si>
    <t xml:space="preserve">Status is either OPEN or the build requirement that settled the question. The open items are the agenda for the definitions review; the governed items record which requirement decided it, so the reasoning survives the people who were in the room.</t>
  </si>
  <si>
    <t xml:space="preserve">Governed by a build requirement</t>
  </si>
</sst>
</file>

<file path=xl/styles.xml><?xml version="1.0" encoding="utf-8"?>
<styleSheet xmlns="http://schemas.openxmlformats.org/spreadsheetml/2006/main">
  <numFmts count="3">
    <numFmt numFmtId="164" formatCode="General"/>
    <numFmt numFmtId="165" formatCode="yyyy\-mm\-dd"/>
    <numFmt numFmtId="166"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4E5F"/>
      <name val="Arial"/>
      <family val="0"/>
      <charset val="1"/>
    </font>
    <font>
      <sz val="9"/>
      <color rgb="FF4C5651"/>
      <name val="Arial"/>
      <family val="0"/>
      <charset val="1"/>
    </font>
    <font>
      <b val="true"/>
      <sz val="10"/>
      <color rgb="FF161C21"/>
      <name val="Arial"/>
      <family val="0"/>
      <charset val="1"/>
    </font>
    <font>
      <sz val="10"/>
      <color rgb="FF161C21"/>
      <name val="Arial"/>
      <family val="0"/>
      <charset val="1"/>
    </font>
    <font>
      <b val="true"/>
      <sz val="10"/>
      <color rgb="FFFFFFFF"/>
      <name val="Arial"/>
      <family val="0"/>
      <charset val="1"/>
    </font>
    <font>
      <b val="true"/>
      <sz val="10"/>
      <color rgb="FFA06A12"/>
      <name val="Arial"/>
      <family val="0"/>
      <charset val="1"/>
    </font>
    <font>
      <b val="true"/>
      <sz val="10"/>
      <color rgb="FFB02F26"/>
      <name val="Arial"/>
      <family val="0"/>
      <charset val="1"/>
    </font>
    <font>
      <b val="true"/>
      <sz val="10"/>
      <color rgb="FF356B52"/>
      <name val="Arial"/>
      <family val="0"/>
      <charset val="1"/>
    </font>
  </fonts>
  <fills count="10">
    <fill>
      <patternFill patternType="none"/>
    </fill>
    <fill>
      <patternFill patternType="gray125"/>
    </fill>
    <fill>
      <patternFill patternType="solid">
        <fgColor rgb="FF1F4E5F"/>
        <bgColor rgb="FF356B52"/>
      </patternFill>
    </fill>
    <fill>
      <patternFill patternType="solid">
        <fgColor rgb="FFE4EAEC"/>
        <bgColor rgb="FFE2EDE6"/>
      </patternFill>
    </fill>
    <fill>
      <patternFill patternType="solid">
        <fgColor rgb="FFFFF2CC"/>
        <bgColor rgb="FFF7EEDB"/>
      </patternFill>
    </fill>
    <fill>
      <patternFill patternType="solid">
        <fgColor rgb="FFEDEDED"/>
        <bgColor rgb="FFE4EAEC"/>
      </patternFill>
    </fill>
    <fill>
      <patternFill patternType="solid">
        <fgColor rgb="FFF7EEDB"/>
        <bgColor rgb="FFFFF2CC"/>
      </patternFill>
    </fill>
    <fill>
      <patternFill patternType="solid">
        <fgColor rgb="FFF7E2DF"/>
        <bgColor rgb="FFF7EEDB"/>
      </patternFill>
    </fill>
    <fill>
      <patternFill patternType="solid">
        <fgColor rgb="FFD6E4E8"/>
        <bgColor rgb="FFE4EAEC"/>
      </patternFill>
    </fill>
    <fill>
      <patternFill patternType="solid">
        <fgColor rgb="FFE2EDE6"/>
        <bgColor rgb="FFE4EAEC"/>
      </patternFill>
    </fill>
  </fills>
  <borders count="2">
    <border diagonalUp="false" diagonalDown="false">
      <left/>
      <right/>
      <top/>
      <bottom/>
      <diagonal/>
    </border>
    <border diagonalUp="false" diagonalDown="false">
      <left style="thin">
        <color rgb="FFC6CDC7"/>
      </left>
      <right style="thin">
        <color rgb="FFC6CDC7"/>
      </right>
      <top style="thin">
        <color rgb="FFC6CDC7"/>
      </top>
      <bottom style="thin">
        <color rgb="FFC6CD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false" indent="0" shrinkToFit="false"/>
      <protection locked="true" hidden="false"/>
    </xf>
    <xf numFmtId="165" fontId="7" fillId="4" borderId="1" xfId="0" applyFont="true" applyBorder="tru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6" fillId="8" borderId="1" xfId="0" applyFont="true" applyBorder="true" applyAlignment="true" applyProtection="false">
      <alignment horizontal="center" vertical="bottom" textRotation="0" wrapText="false" indent="0" shrinkToFit="false"/>
      <protection locked="true" hidden="false"/>
    </xf>
    <xf numFmtId="166" fontId="6" fillId="5" borderId="1" xfId="0" applyFont="true" applyBorder="true" applyAlignment="true" applyProtection="false">
      <alignment horizontal="center"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11" fillId="9"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A06A12"/>
      <rgbColor rgb="FF800080"/>
      <rgbColor rgb="FF008080"/>
      <rgbColor rgb="FFC6CDC7"/>
      <rgbColor rgb="FF808080"/>
      <rgbColor rgb="FF9999FF"/>
      <rgbColor rgb="FF993366"/>
      <rgbColor rgb="FFFFF2CC"/>
      <rgbColor rgb="FFE2EDE6"/>
      <rgbColor rgb="FF660066"/>
      <rgbColor rgb="FFFF8080"/>
      <rgbColor rgb="FF0066CC"/>
      <rgbColor rgb="FFD6E4E8"/>
      <rgbColor rgb="FF000080"/>
      <rgbColor rgb="FFFF00FF"/>
      <rgbColor rgb="FFFFFF00"/>
      <rgbColor rgb="FF00FFFF"/>
      <rgbColor rgb="FF800080"/>
      <rgbColor rgb="FF800000"/>
      <rgbColor rgb="FF008080"/>
      <rgbColor rgb="FF0000FF"/>
      <rgbColor rgb="FF00CCFF"/>
      <rgbColor rgb="FFE4EAEC"/>
      <rgbColor rgb="FFEDEDED"/>
      <rgbColor rgb="FFF7EEDB"/>
      <rgbColor rgb="FF99CCFF"/>
      <rgbColor rgb="FFFF99CC"/>
      <rgbColor rgb="FFCC99FF"/>
      <rgbColor rgb="FFF7E2DF"/>
      <rgbColor rgb="FF3366FF"/>
      <rgbColor rgb="FF33CCCC"/>
      <rgbColor rgb="FF99CC00"/>
      <rgbColor rgb="FFFFCC00"/>
      <rgbColor rgb="FFFF9900"/>
      <rgbColor rgb="FFFF6600"/>
      <rgbColor rgb="FF4C5651"/>
      <rgbColor rgb="FF969696"/>
      <rgbColor rgb="FF1F4E5F"/>
      <rgbColor rgb="FF356B52"/>
      <rgbColor rgb="FF161C21"/>
      <rgbColor rgb="FF333300"/>
      <rgbColor rgb="FFB02F2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34"/>
  <sheetViews>
    <sheetView showFormulas="false" showGridLines="true" showRowColHeaders="true" showZeros="true" rightToLeft="false" tabSelected="true" showOutlineSymbols="true" defaultGridColor="true" view="normal" topLeftCell="A26"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8"/>
    <col collapsed="false" customWidth="true" hidden="false" outlineLevel="0" max="4" min="3" style="0" width="66"/>
    <col collapsed="false" customWidth="true" hidden="false" outlineLevel="0" max="5" min="5" style="0" width="3"/>
  </cols>
  <sheetData>
    <row r="2" customFormat="false" ht="17.35" hidden="false" customHeight="false" outlineLevel="0" collapsed="false">
      <c r="B2" s="1" t="s">
        <v>0</v>
      </c>
    </row>
    <row r="3" customFormat="false" ht="15" hidden="false" customHeight="false" outlineLevel="0" collapsed="false">
      <c r="B3" s="2" t="s">
        <v>1</v>
      </c>
    </row>
    <row r="5" customFormat="false" ht="39" hidden="false" customHeight="true" outlineLevel="0" collapsed="false">
      <c r="B5" s="3" t="s">
        <v>2</v>
      </c>
      <c r="C5" s="4" t="s">
        <v>3</v>
      </c>
      <c r="D5" s="4"/>
    </row>
    <row r="6" customFormat="false" ht="78" hidden="false" customHeight="true" outlineLevel="0" collapsed="false">
      <c r="B6" s="3" t="s">
        <v>4</v>
      </c>
      <c r="C6" s="4" t="s">
        <v>5</v>
      </c>
      <c r="D6" s="4"/>
    </row>
    <row r="7" customFormat="false" ht="51.75" hidden="false" customHeight="true" outlineLevel="0" collapsed="false">
      <c r="B7" s="3" t="s">
        <v>6</v>
      </c>
      <c r="C7" s="4" t="s">
        <v>7</v>
      </c>
      <c r="D7" s="4"/>
    </row>
    <row r="8" customFormat="false" ht="51.75" hidden="false" customHeight="true" outlineLevel="0" collapsed="false">
      <c r="B8" s="3" t="s">
        <v>8</v>
      </c>
      <c r="C8" s="4" t="s">
        <v>9</v>
      </c>
      <c r="D8" s="4"/>
    </row>
    <row r="9" customFormat="false" ht="39" hidden="false" customHeight="true" outlineLevel="0" collapsed="false">
      <c r="B9" s="3" t="s">
        <v>10</v>
      </c>
      <c r="C9" s="4" t="s">
        <v>11</v>
      </c>
      <c r="D9" s="4"/>
    </row>
    <row r="11" customFormat="false" ht="17.35" hidden="false" customHeight="false" outlineLevel="0" collapsed="false">
      <c r="B11" s="1" t="s">
        <v>12</v>
      </c>
    </row>
    <row r="12" customFormat="false" ht="31.5" hidden="false" customHeight="true" outlineLevel="0" collapsed="false">
      <c r="A12" s="5" t="s">
        <v>13</v>
      </c>
      <c r="B12" s="5" t="s">
        <v>14</v>
      </c>
      <c r="C12" s="5" t="s">
        <v>15</v>
      </c>
      <c r="D12" s="5" t="s">
        <v>16</v>
      </c>
    </row>
    <row r="13" customFormat="false" ht="57.75" hidden="false" customHeight="true" outlineLevel="0" collapsed="false">
      <c r="A13" s="6" t="n">
        <v>1</v>
      </c>
      <c r="B13" s="7" t="s">
        <v>17</v>
      </c>
      <c r="C13" s="8" t="s">
        <v>18</v>
      </c>
      <c r="D13" s="8" t="s">
        <v>19</v>
      </c>
    </row>
    <row r="14" customFormat="false" ht="57.75" hidden="false" customHeight="true" outlineLevel="0" collapsed="false">
      <c r="A14" s="6" t="n">
        <v>2</v>
      </c>
      <c r="B14" s="7" t="s">
        <v>20</v>
      </c>
      <c r="C14" s="8" t="s">
        <v>21</v>
      </c>
      <c r="D14" s="8" t="s">
        <v>22</v>
      </c>
    </row>
    <row r="15" customFormat="false" ht="57.75" hidden="false" customHeight="true" outlineLevel="0" collapsed="false">
      <c r="A15" s="6" t="n">
        <v>3</v>
      </c>
      <c r="B15" s="7" t="s">
        <v>23</v>
      </c>
      <c r="C15" s="8" t="s">
        <v>24</v>
      </c>
      <c r="D15" s="8" t="s">
        <v>25</v>
      </c>
    </row>
    <row r="16" customFormat="false" ht="57.75" hidden="false" customHeight="true" outlineLevel="0" collapsed="false">
      <c r="A16" s="6" t="n">
        <v>4</v>
      </c>
      <c r="B16" s="7" t="s">
        <v>26</v>
      </c>
      <c r="C16" s="8" t="s">
        <v>27</v>
      </c>
      <c r="D16" s="8" t="s">
        <v>28</v>
      </c>
    </row>
    <row r="17" customFormat="false" ht="57.75" hidden="false" customHeight="true" outlineLevel="0" collapsed="false">
      <c r="A17" s="6" t="n">
        <v>5</v>
      </c>
      <c r="B17" s="7" t="s">
        <v>29</v>
      </c>
      <c r="C17" s="8" t="s">
        <v>30</v>
      </c>
      <c r="D17" s="8" t="s">
        <v>31</v>
      </c>
    </row>
    <row r="18" customFormat="false" ht="57.75" hidden="false" customHeight="true" outlineLevel="0" collapsed="false">
      <c r="A18" s="6" t="n">
        <v>6</v>
      </c>
      <c r="B18" s="7" t="s">
        <v>32</v>
      </c>
      <c r="C18" s="8" t="s">
        <v>33</v>
      </c>
      <c r="D18" s="8" t="s">
        <v>34</v>
      </c>
    </row>
    <row r="19" customFormat="false" ht="57.75" hidden="false" customHeight="true" outlineLevel="0" collapsed="false">
      <c r="A19" s="6" t="n">
        <v>7</v>
      </c>
      <c r="B19" s="7" t="s">
        <v>35</v>
      </c>
      <c r="C19" s="8" t="s">
        <v>36</v>
      </c>
      <c r="D19" s="8" t="s">
        <v>37</v>
      </c>
    </row>
    <row r="20" customFormat="false" ht="57.75" hidden="false" customHeight="true" outlineLevel="0" collapsed="false">
      <c r="A20" s="6" t="n">
        <v>8</v>
      </c>
      <c r="B20" s="7" t="s">
        <v>38</v>
      </c>
      <c r="C20" s="8" t="s">
        <v>39</v>
      </c>
      <c r="D20" s="8" t="s">
        <v>40</v>
      </c>
    </row>
    <row r="21" customFormat="false" ht="57.75" hidden="false" customHeight="true" outlineLevel="0" collapsed="false">
      <c r="A21" s="6" t="n">
        <v>9</v>
      </c>
      <c r="B21" s="7" t="s">
        <v>41</v>
      </c>
      <c r="C21" s="8" t="s">
        <v>42</v>
      </c>
      <c r="D21" s="8" t="s">
        <v>43</v>
      </c>
    </row>
    <row r="24" customFormat="false" ht="17.35" hidden="false" customHeight="false" outlineLevel="0" collapsed="false">
      <c r="B24" s="1" t="s">
        <v>44</v>
      </c>
    </row>
    <row r="25" customFormat="false" ht="31.5" hidden="false" customHeight="true" outlineLevel="0" collapsed="false">
      <c r="A25" s="5" t="s">
        <v>45</v>
      </c>
      <c r="B25" s="5" t="s">
        <v>46</v>
      </c>
      <c r="C25" s="5" t="s">
        <v>47</v>
      </c>
    </row>
    <row r="26" customFormat="false" ht="45.75" hidden="false" customHeight="true" outlineLevel="0" collapsed="false">
      <c r="A26" s="7" t="s">
        <v>48</v>
      </c>
      <c r="B26" s="8" t="s">
        <v>49</v>
      </c>
      <c r="C26" s="8" t="s">
        <v>50</v>
      </c>
    </row>
    <row r="27" customFormat="false" ht="45.75" hidden="false" customHeight="true" outlineLevel="0" collapsed="false">
      <c r="A27" s="7" t="s">
        <v>51</v>
      </c>
      <c r="B27" s="8" t="s">
        <v>52</v>
      </c>
      <c r="C27" s="8" t="s">
        <v>53</v>
      </c>
    </row>
    <row r="28" customFormat="false" ht="45.75" hidden="false" customHeight="true" outlineLevel="0" collapsed="false">
      <c r="A28" s="7" t="s">
        <v>54</v>
      </c>
      <c r="B28" s="8" t="s">
        <v>55</v>
      </c>
      <c r="C28" s="8" t="s">
        <v>56</v>
      </c>
    </row>
    <row r="29" customFormat="false" ht="45.75" hidden="false" customHeight="true" outlineLevel="0" collapsed="false">
      <c r="A29" s="7" t="s">
        <v>57</v>
      </c>
      <c r="B29" s="8" t="s">
        <v>58</v>
      </c>
      <c r="C29" s="8" t="s">
        <v>59</v>
      </c>
    </row>
    <row r="30" customFormat="false" ht="45.75" hidden="false" customHeight="true" outlineLevel="0" collapsed="false">
      <c r="A30" s="7" t="s">
        <v>60</v>
      </c>
      <c r="B30" s="8" t="s">
        <v>61</v>
      </c>
      <c r="C30" s="8" t="s">
        <v>62</v>
      </c>
    </row>
    <row r="33" customFormat="false" ht="15" hidden="false" customHeight="true" outlineLevel="0" collapsed="false">
      <c r="B33" s="9" t="s">
        <v>63</v>
      </c>
      <c r="C33" s="4" t="s">
        <v>64</v>
      </c>
      <c r="D33" s="4"/>
    </row>
    <row r="34" customFormat="false" ht="15" hidden="false" customHeight="false" outlineLevel="0" collapsed="false">
      <c r="C34" s="4"/>
      <c r="D34" s="4"/>
    </row>
  </sheetData>
  <mergeCells count="6">
    <mergeCell ref="C5:D5"/>
    <mergeCell ref="C6:D6"/>
    <mergeCell ref="C7:D7"/>
    <mergeCell ref="C8:D8"/>
    <mergeCell ref="C9:D9"/>
    <mergeCell ref="C33:D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16"/>
    <col collapsed="false" customWidth="true" hidden="false" outlineLevel="0" max="4" min="4" style="0" width="9"/>
    <col collapsed="false" customWidth="true" hidden="false" outlineLevel="0" max="6" min="5" style="0" width="17"/>
    <col collapsed="false" customWidth="true" hidden="false" outlineLevel="0" max="10" min="7" style="0" width="18"/>
    <col collapsed="false" customWidth="true" hidden="false" outlineLevel="0" max="12" min="11" style="0" width="13"/>
    <col collapsed="false" customWidth="true" hidden="false" outlineLevel="0" max="13" min="13" style="0" width="26"/>
    <col collapsed="false" customWidth="true" hidden="false" outlineLevel="0" max="14" min="14" style="0" width="10"/>
    <col collapsed="false" customWidth="true" hidden="false" outlineLevel="0" max="15" min="15" style="0" width="14"/>
    <col collapsed="false" customWidth="true" hidden="false" outlineLevel="0" max="16" min="16" style="0" width="8"/>
    <col collapsed="false" customWidth="true" hidden="false" outlineLevel="0" max="18" min="17" style="0" width="13"/>
    <col collapsed="false" customWidth="true" hidden="false" outlineLevel="0" max="19" min="19" style="0" width="14"/>
    <col collapsed="false" customWidth="true" hidden="false" outlineLevel="0" max="20" min="20" style="0" width="12"/>
    <col collapsed="false" customWidth="true" hidden="false" outlineLevel="0" max="21" min="21" style="0" width="13"/>
    <col collapsed="false" customWidth="true" hidden="false" outlineLevel="0" max="22" min="22" style="0" width="6"/>
    <col collapsed="false" customWidth="true" hidden="false" outlineLevel="0" max="23" min="23" style="0" width="22"/>
    <col collapsed="false" customWidth="true" hidden="false" outlineLevel="0" max="24" min="24" style="0" width="9"/>
    <col collapsed="false" customWidth="true" hidden="false" outlineLevel="0" max="25" min="25" style="0" width="50"/>
  </cols>
  <sheetData>
    <row r="1" customFormat="false" ht="31.5" hidden="false" customHeight="true" outlineLevel="0" collapsed="false">
      <c r="A1" s="5" t="s">
        <v>65</v>
      </c>
      <c r="B1" s="5" t="s">
        <v>66</v>
      </c>
      <c r="C1" s="5" t="s">
        <v>67</v>
      </c>
      <c r="D1" s="5" t="s">
        <v>68</v>
      </c>
      <c r="E1" s="5" t="s">
        <v>69</v>
      </c>
      <c r="F1" s="5" t="s">
        <v>70</v>
      </c>
      <c r="G1" s="5" t="s">
        <v>71</v>
      </c>
      <c r="H1" s="5" t="s">
        <v>72</v>
      </c>
      <c r="I1" s="5" t="s">
        <v>73</v>
      </c>
      <c r="J1" s="5" t="s">
        <v>74</v>
      </c>
      <c r="K1" s="5" t="s">
        <v>75</v>
      </c>
      <c r="L1" s="5" t="s">
        <v>76</v>
      </c>
      <c r="M1" s="5" t="s">
        <v>77</v>
      </c>
      <c r="N1" s="5" t="s">
        <v>78</v>
      </c>
      <c r="O1" s="5" t="s">
        <v>79</v>
      </c>
      <c r="P1" s="5" t="s">
        <v>80</v>
      </c>
      <c r="Q1" s="5" t="s">
        <v>81</v>
      </c>
      <c r="R1" s="5" t="s">
        <v>82</v>
      </c>
      <c r="S1" s="5" t="s">
        <v>83</v>
      </c>
      <c r="T1" s="5" t="s">
        <v>84</v>
      </c>
      <c r="U1" s="5" t="s">
        <v>85</v>
      </c>
      <c r="V1" s="5" t="s">
        <v>86</v>
      </c>
      <c r="W1" s="5" t="s">
        <v>87</v>
      </c>
      <c r="X1" s="5" t="s">
        <v>88</v>
      </c>
      <c r="Y1" s="5" t="s">
        <v>89</v>
      </c>
    </row>
    <row r="2" customFormat="false" ht="60" hidden="false" customHeight="true" outlineLevel="0" collapsed="false">
      <c r="A2" s="10" t="s">
        <v>90</v>
      </c>
      <c r="B2" s="6" t="s">
        <v>91</v>
      </c>
      <c r="C2" s="6" t="s">
        <v>91</v>
      </c>
      <c r="D2" s="11" t="s">
        <v>92</v>
      </c>
      <c r="E2" s="6" t="s">
        <v>93</v>
      </c>
      <c r="F2" s="12" t="s">
        <v>94</v>
      </c>
      <c r="G2" s="13"/>
      <c r="H2" s="13"/>
      <c r="I2" s="13"/>
      <c r="J2" s="13"/>
      <c r="K2" s="6" t="s">
        <v>95</v>
      </c>
      <c r="L2" s="6" t="s">
        <v>96</v>
      </c>
      <c r="M2" s="6" t="s">
        <v>97</v>
      </c>
      <c r="N2" s="6" t="s">
        <v>98</v>
      </c>
      <c r="O2" s="6" t="s">
        <v>99</v>
      </c>
      <c r="P2" s="6" t="s">
        <v>100</v>
      </c>
      <c r="Q2" s="14" t="n">
        <v>46095</v>
      </c>
      <c r="R2" s="14" t="n">
        <v>46101</v>
      </c>
      <c r="S2" s="6" t="s">
        <v>101</v>
      </c>
      <c r="T2" s="15" t="n">
        <f aca="false">IF(R2="","NEVER ATTESTED",EDATE(R2,6))</f>
        <v>46285</v>
      </c>
      <c r="U2" s="16" t="str">
        <f aca="false">IF(R2="","never attested",IF(Q2&gt;R2,"YES - RISK","no"))</f>
        <v>no</v>
      </c>
      <c r="V2" s="6" t="n">
        <v>2</v>
      </c>
      <c r="W2" s="6" t="s">
        <v>102</v>
      </c>
      <c r="X2" s="6" t="s">
        <v>103</v>
      </c>
      <c r="Y2" s="8" t="s">
        <v>104</v>
      </c>
    </row>
    <row r="3" customFormat="false" ht="60" hidden="false" customHeight="true" outlineLevel="0" collapsed="false">
      <c r="A3" s="10" t="s">
        <v>105</v>
      </c>
      <c r="B3" s="6" t="s">
        <v>106</v>
      </c>
      <c r="C3" s="6" t="s">
        <v>106</v>
      </c>
      <c r="D3" s="6"/>
      <c r="E3" s="6" t="s">
        <v>93</v>
      </c>
      <c r="F3" s="6"/>
      <c r="G3" s="13"/>
      <c r="H3" s="13"/>
      <c r="I3" s="13"/>
      <c r="J3" s="13"/>
      <c r="K3" s="6" t="s">
        <v>95</v>
      </c>
      <c r="L3" s="6" t="s">
        <v>107</v>
      </c>
      <c r="M3" s="6" t="s">
        <v>108</v>
      </c>
      <c r="N3" s="6" t="s">
        <v>98</v>
      </c>
      <c r="O3" s="6" t="s">
        <v>109</v>
      </c>
      <c r="P3" s="6" t="s">
        <v>110</v>
      </c>
      <c r="Q3" s="14" t="n">
        <v>46233</v>
      </c>
      <c r="R3" s="14"/>
      <c r="S3" s="6"/>
      <c r="T3" s="15" t="str">
        <f aca="false">IF(R3="","NEVER ATTESTED",EDATE(R3,6))</f>
        <v>NEVER ATTESTED</v>
      </c>
      <c r="U3" s="16" t="str">
        <f aca="false">IF(R3="","never attested",IF(Q3&gt;R3,"YES - RISK","no"))</f>
        <v>never attested</v>
      </c>
      <c r="V3" s="6" t="n">
        <v>1</v>
      </c>
      <c r="W3" s="6" t="s">
        <v>111</v>
      </c>
      <c r="X3" s="6" t="s">
        <v>103</v>
      </c>
      <c r="Y3" s="8" t="s">
        <v>112</v>
      </c>
    </row>
    <row r="4" customFormat="false" ht="60" hidden="false" customHeight="true" outlineLevel="0" collapsed="false">
      <c r="A4" s="10" t="s">
        <v>113</v>
      </c>
      <c r="B4" s="6" t="s">
        <v>114</v>
      </c>
      <c r="C4" s="6" t="s">
        <v>115</v>
      </c>
      <c r="D4" s="6"/>
      <c r="E4" s="6" t="s">
        <v>116</v>
      </c>
      <c r="F4" s="6"/>
      <c r="G4" s="13"/>
      <c r="H4" s="13"/>
      <c r="I4" s="13"/>
      <c r="J4" s="13"/>
      <c r="K4" s="6" t="s">
        <v>95</v>
      </c>
      <c r="L4" s="6" t="s">
        <v>96</v>
      </c>
      <c r="M4" s="6" t="s">
        <v>117</v>
      </c>
      <c r="N4" s="6" t="s">
        <v>98</v>
      </c>
      <c r="O4" s="6" t="s">
        <v>99</v>
      </c>
      <c r="P4" s="6" t="s">
        <v>118</v>
      </c>
      <c r="Q4" s="14" t="n">
        <v>46175</v>
      </c>
      <c r="R4" s="14" t="n">
        <v>46037</v>
      </c>
      <c r="S4" s="6" t="s">
        <v>119</v>
      </c>
      <c r="T4" s="15" t="n">
        <f aca="false">IF(R4="","NEVER ATTESTED",EDATE(R4,6))</f>
        <v>46218</v>
      </c>
      <c r="U4" s="16" t="str">
        <f aca="false">IF(R4="","never attested",IF(Q4&gt;R4,"YES - RISK","no"))</f>
        <v>YES - RISK</v>
      </c>
      <c r="V4" s="6" t="n">
        <v>1</v>
      </c>
      <c r="W4" s="6" t="s">
        <v>120</v>
      </c>
      <c r="X4" s="6" t="s">
        <v>103</v>
      </c>
      <c r="Y4" s="8" t="s">
        <v>121</v>
      </c>
    </row>
    <row r="5" customFormat="false" ht="60" hidden="false" customHeight="true" outlineLevel="0" collapsed="false">
      <c r="A5" s="10" t="s">
        <v>122</v>
      </c>
      <c r="B5" s="6" t="s">
        <v>123</v>
      </c>
      <c r="C5" s="6" t="s">
        <v>123</v>
      </c>
      <c r="D5" s="11" t="s">
        <v>92</v>
      </c>
      <c r="E5" s="6" t="s">
        <v>124</v>
      </c>
      <c r="F5" s="12" t="s">
        <v>94</v>
      </c>
      <c r="G5" s="13"/>
      <c r="H5" s="13"/>
      <c r="I5" s="13"/>
      <c r="J5" s="13"/>
      <c r="K5" s="6" t="s">
        <v>95</v>
      </c>
      <c r="L5" s="6" t="s">
        <v>107</v>
      </c>
      <c r="M5" s="6" t="s">
        <v>125</v>
      </c>
      <c r="N5" s="6" t="s">
        <v>126</v>
      </c>
      <c r="O5" s="6" t="s">
        <v>127</v>
      </c>
      <c r="P5" s="6" t="s">
        <v>128</v>
      </c>
      <c r="Q5" s="14" t="n">
        <v>45965</v>
      </c>
      <c r="R5" s="14"/>
      <c r="S5" s="6"/>
      <c r="T5" s="15" t="str">
        <f aca="false">IF(R5="","NEVER ATTESTED",EDATE(R5,6))</f>
        <v>NEVER ATTESTED</v>
      </c>
      <c r="U5" s="16" t="str">
        <f aca="false">IF(R5="","never attested",IF(Q5&gt;R5,"YES - RISK","no"))</f>
        <v>never attested</v>
      </c>
      <c r="V5" s="6" t="n">
        <v>1</v>
      </c>
      <c r="W5" s="6" t="s">
        <v>129</v>
      </c>
      <c r="X5" s="6" t="s">
        <v>103</v>
      </c>
      <c r="Y5" s="8" t="s">
        <v>130</v>
      </c>
    </row>
    <row r="6" customFormat="false" ht="60" hidden="false" customHeight="true" outlineLevel="0" collapsed="false">
      <c r="A6" s="10" t="s">
        <v>131</v>
      </c>
      <c r="B6" s="6" t="s">
        <v>132</v>
      </c>
      <c r="C6" s="6" t="s">
        <v>115</v>
      </c>
      <c r="D6" s="6"/>
      <c r="E6" s="6" t="s">
        <v>124</v>
      </c>
      <c r="F6" s="6"/>
      <c r="G6" s="13"/>
      <c r="H6" s="13"/>
      <c r="I6" s="13"/>
      <c r="J6" s="13"/>
      <c r="K6" s="6" t="s">
        <v>95</v>
      </c>
      <c r="L6" s="6" t="s">
        <v>96</v>
      </c>
      <c r="M6" s="6" t="s">
        <v>117</v>
      </c>
      <c r="N6" s="6" t="s">
        <v>98</v>
      </c>
      <c r="O6" s="6" t="s">
        <v>99</v>
      </c>
      <c r="P6" s="6" t="s">
        <v>118</v>
      </c>
      <c r="Q6" s="14" t="n">
        <v>46175</v>
      </c>
      <c r="R6" s="14"/>
      <c r="S6" s="6"/>
      <c r="T6" s="15" t="str">
        <f aca="false">IF(R6="","NEVER ATTESTED",EDATE(R6,6))</f>
        <v>NEVER ATTESTED</v>
      </c>
      <c r="U6" s="16" t="str">
        <f aca="false">IF(R6="","never attested",IF(Q6&gt;R6,"YES - RISK","no"))</f>
        <v>never attested</v>
      </c>
      <c r="V6" s="6" t="n">
        <v>1</v>
      </c>
      <c r="W6" s="6" t="s">
        <v>120</v>
      </c>
      <c r="X6" s="6" t="s">
        <v>103</v>
      </c>
      <c r="Y6" s="8" t="s">
        <v>133</v>
      </c>
    </row>
    <row r="7" customFormat="false" ht="60" hidden="false" customHeight="true" outlineLevel="0" collapsed="false">
      <c r="A7" s="10" t="s">
        <v>134</v>
      </c>
      <c r="B7" s="6" t="s">
        <v>135</v>
      </c>
      <c r="C7" s="6" t="s">
        <v>136</v>
      </c>
      <c r="D7" s="6"/>
      <c r="E7" s="6" t="s">
        <v>137</v>
      </c>
      <c r="F7" s="6"/>
      <c r="G7" s="13"/>
      <c r="H7" s="13"/>
      <c r="I7" s="13"/>
      <c r="J7" s="13"/>
      <c r="K7" s="6" t="s">
        <v>138</v>
      </c>
      <c r="L7" s="6" t="s">
        <v>107</v>
      </c>
      <c r="M7" s="6" t="s">
        <v>139</v>
      </c>
      <c r="N7" s="6" t="s">
        <v>126</v>
      </c>
      <c r="O7" s="6" t="s">
        <v>140</v>
      </c>
      <c r="P7" s="6" t="s">
        <v>141</v>
      </c>
      <c r="Q7" s="14" t="n">
        <v>46153</v>
      </c>
      <c r="R7" s="14" t="n">
        <v>46151</v>
      </c>
      <c r="S7" s="6" t="s">
        <v>142</v>
      </c>
      <c r="T7" s="15" t="n">
        <f aca="false">IF(R7="","NEVER ATTESTED",EDATE(R7,6))</f>
        <v>46335</v>
      </c>
      <c r="U7" s="16" t="str">
        <f aca="false">IF(R7="","never attested",IF(Q7&gt;R7,"YES - RISK","no"))</f>
        <v>YES - RISK</v>
      </c>
      <c r="V7" s="6" t="n">
        <v>1</v>
      </c>
      <c r="W7" s="6" t="s">
        <v>143</v>
      </c>
      <c r="X7" s="6" t="s">
        <v>103</v>
      </c>
      <c r="Y7" s="8" t="s">
        <v>144</v>
      </c>
    </row>
    <row r="8" customFormat="false" ht="60" hidden="false" customHeight="true" outlineLevel="0" collapsed="false">
      <c r="A8" s="10" t="s">
        <v>145</v>
      </c>
      <c r="B8" s="6" t="s">
        <v>146</v>
      </c>
      <c r="C8" s="6" t="s">
        <v>115</v>
      </c>
      <c r="D8" s="6"/>
      <c r="E8" s="6" t="s">
        <v>137</v>
      </c>
      <c r="F8" s="6"/>
      <c r="G8" s="13"/>
      <c r="H8" s="13"/>
      <c r="I8" s="13"/>
      <c r="J8" s="13"/>
      <c r="K8" s="6" t="s">
        <v>95</v>
      </c>
      <c r="L8" s="6" t="s">
        <v>96</v>
      </c>
      <c r="M8" s="6" t="s">
        <v>117</v>
      </c>
      <c r="N8" s="6" t="s">
        <v>98</v>
      </c>
      <c r="O8" s="6" t="s">
        <v>99</v>
      </c>
      <c r="P8" s="6" t="s">
        <v>147</v>
      </c>
      <c r="Q8" s="14" t="n">
        <v>45918</v>
      </c>
      <c r="R8" s="14"/>
      <c r="S8" s="6"/>
      <c r="T8" s="15" t="str">
        <f aca="false">IF(R8="","NEVER ATTESTED",EDATE(R8,6))</f>
        <v>NEVER ATTESTED</v>
      </c>
      <c r="U8" s="16" t="str">
        <f aca="false">IF(R8="","never attested",IF(Q8&gt;R8,"YES - RISK","no"))</f>
        <v>never attested</v>
      </c>
      <c r="V8" s="6" t="n">
        <v>1</v>
      </c>
      <c r="W8" s="6" t="s">
        <v>148</v>
      </c>
      <c r="X8" s="6" t="s">
        <v>103</v>
      </c>
      <c r="Y8" s="8" t="s">
        <v>149</v>
      </c>
    </row>
    <row r="9" customFormat="false" ht="60" hidden="false" customHeight="true" outlineLevel="0" collapsed="false">
      <c r="A9" s="10" t="s">
        <v>150</v>
      </c>
      <c r="B9" s="6" t="s">
        <v>151</v>
      </c>
      <c r="C9" s="6" t="s">
        <v>152</v>
      </c>
      <c r="D9" s="6"/>
      <c r="E9" s="6" t="s">
        <v>94</v>
      </c>
      <c r="F9" s="6"/>
      <c r="G9" s="13"/>
      <c r="H9" s="13"/>
      <c r="I9" s="13"/>
      <c r="J9" s="13"/>
      <c r="K9" s="6" t="s">
        <v>95</v>
      </c>
      <c r="L9" s="6" t="s">
        <v>107</v>
      </c>
      <c r="M9" s="6" t="s">
        <v>153</v>
      </c>
      <c r="N9" s="6" t="s">
        <v>126</v>
      </c>
      <c r="O9" s="6" t="s">
        <v>127</v>
      </c>
      <c r="P9" s="6" t="s">
        <v>154</v>
      </c>
      <c r="Q9" s="14" t="n">
        <v>46080</v>
      </c>
      <c r="R9" s="14" t="n">
        <v>46078</v>
      </c>
      <c r="S9" s="6" t="s">
        <v>155</v>
      </c>
      <c r="T9" s="15" t="n">
        <f aca="false">IF(R9="","NEVER ATTESTED",EDATE(R9,6))</f>
        <v>46259</v>
      </c>
      <c r="U9" s="16" t="str">
        <f aca="false">IF(R9="","never attested",IF(Q9&gt;R9,"YES - RISK","no"))</f>
        <v>YES - RISK</v>
      </c>
      <c r="V9" s="6" t="n">
        <v>3</v>
      </c>
      <c r="W9" s="6" t="s">
        <v>156</v>
      </c>
      <c r="X9" s="6" t="s">
        <v>103</v>
      </c>
      <c r="Y9" s="8" t="s">
        <v>157</v>
      </c>
    </row>
    <row r="10" customFormat="false" ht="60" hidden="false" customHeight="true" outlineLevel="0" collapsed="false">
      <c r="A10" s="10" t="s">
        <v>158</v>
      </c>
      <c r="B10" s="6" t="s">
        <v>159</v>
      </c>
      <c r="C10" s="6" t="s">
        <v>160</v>
      </c>
      <c r="D10" s="6"/>
      <c r="E10" s="6" t="s">
        <v>94</v>
      </c>
      <c r="F10" s="6"/>
      <c r="G10" s="13"/>
      <c r="H10" s="13"/>
      <c r="I10" s="13"/>
      <c r="J10" s="13"/>
      <c r="K10" s="6" t="s">
        <v>95</v>
      </c>
      <c r="L10" s="6" t="s">
        <v>96</v>
      </c>
      <c r="M10" s="6" t="s">
        <v>161</v>
      </c>
      <c r="N10" s="6" t="s">
        <v>98</v>
      </c>
      <c r="O10" s="6" t="s">
        <v>162</v>
      </c>
      <c r="P10" s="6" t="s">
        <v>163</v>
      </c>
      <c r="Q10" s="14" t="n">
        <v>45519</v>
      </c>
      <c r="R10" s="14"/>
      <c r="S10" s="6"/>
      <c r="T10" s="15" t="str">
        <f aca="false">IF(R10="","NEVER ATTESTED",EDATE(R10,6))</f>
        <v>NEVER ATTESTED</v>
      </c>
      <c r="U10" s="16" t="str">
        <f aca="false">IF(R10="","never attested",IF(Q10&gt;R10,"YES - RISK","no"))</f>
        <v>never attested</v>
      </c>
      <c r="V10" s="6" t="n">
        <v>2</v>
      </c>
      <c r="W10" s="6" t="s">
        <v>164</v>
      </c>
      <c r="X10" s="6" t="s">
        <v>103</v>
      </c>
      <c r="Y10" s="8" t="s">
        <v>165</v>
      </c>
    </row>
    <row r="12" customFormat="false" ht="15" hidden="false" customHeight="false" outlineLevel="0" collapsed="false">
      <c r="B12" s="9" t="s">
        <v>166</v>
      </c>
      <c r="C12" s="17" t="n">
        <f aca="false">COUNTA(A2:A10)</f>
        <v>9</v>
      </c>
    </row>
    <row r="13" customFormat="false" ht="15" hidden="false" customHeight="false" outlineLevel="0" collapsed="false">
      <c r="B13" s="9" t="s">
        <v>167</v>
      </c>
      <c r="C13" s="17" t="n">
        <f aca="false">COUNTIF(D2:D10,"Shared")</f>
        <v>2</v>
      </c>
    </row>
    <row r="14" customFormat="false" ht="15" hidden="false" customHeight="false" outlineLevel="0" collapsed="false">
      <c r="B14" s="9" t="s">
        <v>168</v>
      </c>
      <c r="C14" s="17" t="n">
        <f aca="false">COUNTBLANK(R2:R10)</f>
        <v>5</v>
      </c>
    </row>
    <row r="15" customFormat="false" ht="15" hidden="false" customHeight="false" outlineLevel="0" collapsed="false">
      <c r="B15" s="9" t="s">
        <v>169</v>
      </c>
      <c r="C15" s="17" t="n">
        <f aca="false">COUNTIF(U2:U10,"YES - RISK")</f>
        <v>3</v>
      </c>
    </row>
    <row r="16" customFormat="false" ht="15" hidden="false" customHeight="false" outlineLevel="0" collapsed="false">
      <c r="B16" s="9" t="s">
        <v>170</v>
      </c>
      <c r="C16" s="17" t="n">
        <f aca="false">COUNTIF(N2:N10,"Yes")</f>
        <v>3</v>
      </c>
    </row>
    <row r="17" customFormat="false" ht="15" hidden="false" customHeight="false" outlineLevel="0" collapsed="false">
      <c r="B17" s="9" t="s">
        <v>171</v>
      </c>
      <c r="C17" s="17" t="n">
        <f aca="false">COUNTIF(V2:V10,1)</f>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8"/>
    <col collapsed="false" customWidth="true" hidden="false" outlineLevel="0" max="4" min="4" style="0" width="14"/>
    <col collapsed="false" customWidth="true" hidden="false" outlineLevel="0" max="5" min="5" style="0" width="26"/>
    <col collapsed="false" customWidth="true" hidden="false" outlineLevel="0" max="6" min="6" style="0" width="20"/>
    <col collapsed="false" customWidth="true" hidden="false" outlineLevel="0" max="7" min="7" style="0" width="58"/>
  </cols>
  <sheetData>
    <row r="1" customFormat="false" ht="31.5" hidden="false" customHeight="true" outlineLevel="0" collapsed="false">
      <c r="A1" s="5" t="s">
        <v>172</v>
      </c>
      <c r="B1" s="5" t="s">
        <v>66</v>
      </c>
      <c r="C1" s="5" t="s">
        <v>65</v>
      </c>
      <c r="D1" s="5" t="s">
        <v>173</v>
      </c>
      <c r="E1" s="5" t="s">
        <v>174</v>
      </c>
      <c r="F1" s="5" t="s">
        <v>175</v>
      </c>
      <c r="G1" s="5" t="s">
        <v>89</v>
      </c>
    </row>
    <row r="2" customFormat="false" ht="27.75" hidden="false" customHeight="true" outlineLevel="0" collapsed="false">
      <c r="A2" s="6" t="s">
        <v>93</v>
      </c>
      <c r="B2" s="6" t="s">
        <v>91</v>
      </c>
      <c r="C2" s="6" t="s">
        <v>90</v>
      </c>
      <c r="D2" s="12" t="s">
        <v>176</v>
      </c>
      <c r="E2" s="6" t="s">
        <v>126</v>
      </c>
      <c r="F2" s="6" t="s">
        <v>177</v>
      </c>
      <c r="G2" s="8" t="s">
        <v>178</v>
      </c>
    </row>
    <row r="3" customFormat="false" ht="27.75" hidden="false" customHeight="true" outlineLevel="0" collapsed="false">
      <c r="A3" s="6" t="s">
        <v>93</v>
      </c>
      <c r="B3" s="6" t="s">
        <v>106</v>
      </c>
      <c r="C3" s="6" t="s">
        <v>105</v>
      </c>
      <c r="D3" s="6" t="s">
        <v>179</v>
      </c>
      <c r="E3" s="6" t="s">
        <v>126</v>
      </c>
      <c r="F3" s="6" t="s">
        <v>126</v>
      </c>
      <c r="G3" s="8"/>
    </row>
    <row r="4" customFormat="false" ht="27.75" hidden="false" customHeight="true" outlineLevel="0" collapsed="false">
      <c r="A4" s="6" t="s">
        <v>116</v>
      </c>
      <c r="B4" s="6" t="s">
        <v>180</v>
      </c>
      <c r="C4" s="6" t="s">
        <v>113</v>
      </c>
      <c r="D4" s="6" t="s">
        <v>179</v>
      </c>
      <c r="E4" s="6" t="s">
        <v>126</v>
      </c>
      <c r="F4" s="6" t="s">
        <v>126</v>
      </c>
      <c r="G4" s="8" t="s">
        <v>181</v>
      </c>
    </row>
    <row r="5" customFormat="false" ht="27.75" hidden="false" customHeight="true" outlineLevel="0" collapsed="false">
      <c r="A5" s="6" t="s">
        <v>124</v>
      </c>
      <c r="B5" s="6" t="s">
        <v>123</v>
      </c>
      <c r="C5" s="6" t="s">
        <v>122</v>
      </c>
      <c r="D5" s="12" t="s">
        <v>176</v>
      </c>
      <c r="E5" s="6" t="s">
        <v>126</v>
      </c>
      <c r="F5" s="6" t="s">
        <v>177</v>
      </c>
      <c r="G5" s="8" t="s">
        <v>178</v>
      </c>
    </row>
    <row r="6" customFormat="false" ht="27.75" hidden="false" customHeight="true" outlineLevel="0" collapsed="false">
      <c r="A6" s="6" t="s">
        <v>124</v>
      </c>
      <c r="B6" s="6" t="s">
        <v>132</v>
      </c>
      <c r="C6" s="6" t="s">
        <v>131</v>
      </c>
      <c r="D6" s="6" t="s">
        <v>179</v>
      </c>
      <c r="E6" s="6" t="s">
        <v>126</v>
      </c>
      <c r="F6" s="6" t="s">
        <v>126</v>
      </c>
      <c r="G6" s="8" t="s">
        <v>182</v>
      </c>
    </row>
    <row r="7" customFormat="false" ht="27.75" hidden="false" customHeight="true" outlineLevel="0" collapsed="false">
      <c r="A7" s="6" t="s">
        <v>137</v>
      </c>
      <c r="B7" s="6" t="s">
        <v>135</v>
      </c>
      <c r="C7" s="6" t="s">
        <v>134</v>
      </c>
      <c r="D7" s="6" t="s">
        <v>179</v>
      </c>
      <c r="E7" s="6" t="s">
        <v>126</v>
      </c>
      <c r="F7" s="6" t="s">
        <v>183</v>
      </c>
      <c r="G7" s="8" t="s">
        <v>184</v>
      </c>
    </row>
    <row r="8" customFormat="false" ht="27.75" hidden="false" customHeight="true" outlineLevel="0" collapsed="false">
      <c r="A8" s="6" t="s">
        <v>137</v>
      </c>
      <c r="B8" s="6" t="s">
        <v>146</v>
      </c>
      <c r="C8" s="6" t="s">
        <v>145</v>
      </c>
      <c r="D8" s="6" t="s">
        <v>179</v>
      </c>
      <c r="E8" s="6" t="s">
        <v>126</v>
      </c>
      <c r="F8" s="6" t="s">
        <v>126</v>
      </c>
      <c r="G8" s="8" t="s">
        <v>182</v>
      </c>
    </row>
    <row r="9" customFormat="false" ht="27.75" hidden="false" customHeight="true" outlineLevel="0" collapsed="false">
      <c r="A9" s="6" t="s">
        <v>94</v>
      </c>
      <c r="B9" s="6" t="s">
        <v>91</v>
      </c>
      <c r="C9" s="6" t="s">
        <v>90</v>
      </c>
      <c r="D9" s="12" t="s">
        <v>185</v>
      </c>
      <c r="E9" s="6" t="s">
        <v>126</v>
      </c>
      <c r="F9" s="6" t="s">
        <v>186</v>
      </c>
      <c r="G9" s="8" t="s">
        <v>178</v>
      </c>
    </row>
    <row r="10" customFormat="false" ht="27.75" hidden="false" customHeight="true" outlineLevel="0" collapsed="false">
      <c r="A10" s="6" t="s">
        <v>94</v>
      </c>
      <c r="B10" s="6" t="s">
        <v>123</v>
      </c>
      <c r="C10" s="6" t="s">
        <v>122</v>
      </c>
      <c r="D10" s="12" t="s">
        <v>185</v>
      </c>
      <c r="E10" s="6" t="s">
        <v>126</v>
      </c>
      <c r="F10" s="6" t="s">
        <v>187</v>
      </c>
      <c r="G10" s="8" t="s">
        <v>178</v>
      </c>
    </row>
    <row r="11" customFormat="false" ht="27.75" hidden="false" customHeight="true" outlineLevel="0" collapsed="false">
      <c r="A11" s="6" t="s">
        <v>94</v>
      </c>
      <c r="B11" s="6" t="s">
        <v>151</v>
      </c>
      <c r="C11" s="6" t="s">
        <v>150</v>
      </c>
      <c r="D11" s="6" t="s">
        <v>179</v>
      </c>
      <c r="E11" s="6" t="s">
        <v>126</v>
      </c>
      <c r="F11" s="6" t="s">
        <v>126</v>
      </c>
      <c r="G11" s="8"/>
    </row>
    <row r="12" customFormat="false" ht="27.75" hidden="false" customHeight="true" outlineLevel="0" collapsed="false">
      <c r="A12" s="6" t="s">
        <v>94</v>
      </c>
      <c r="B12" s="6" t="s">
        <v>160</v>
      </c>
      <c r="C12" s="6" t="s">
        <v>158</v>
      </c>
      <c r="D12" s="6" t="s">
        <v>179</v>
      </c>
      <c r="E12" s="6" t="s">
        <v>126</v>
      </c>
      <c r="F12" s="6" t="s">
        <v>126</v>
      </c>
      <c r="G12" s="8"/>
    </row>
    <row r="14" customFormat="false" ht="15" hidden="false" customHeight="true" outlineLevel="0" collapsed="false">
      <c r="A14" s="18" t="s">
        <v>188</v>
      </c>
      <c r="B14" s="18"/>
      <c r="C14" s="18"/>
      <c r="D14" s="18"/>
      <c r="E14" s="18"/>
      <c r="F14" s="18"/>
      <c r="G14" s="18"/>
    </row>
    <row r="15" customFormat="false" ht="15" hidden="false" customHeight="false" outlineLevel="0" collapsed="false">
      <c r="A15" s="18"/>
      <c r="B15" s="18"/>
      <c r="C15" s="18"/>
      <c r="D15" s="18"/>
      <c r="E15" s="18"/>
      <c r="F15" s="18"/>
      <c r="G15" s="18"/>
    </row>
    <row r="16" customFormat="false" ht="15" hidden="false" customHeight="false" outlineLevel="0" collapsed="false">
      <c r="A16" s="18"/>
      <c r="B16" s="18"/>
      <c r="C16" s="18"/>
      <c r="D16" s="18"/>
      <c r="E16" s="18"/>
      <c r="F16" s="18"/>
      <c r="G16" s="18"/>
    </row>
  </sheetData>
  <mergeCells count="1">
    <mergeCell ref="A14:G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11"/>
    <col collapsed="false" customWidth="true" hidden="false" outlineLevel="0" max="4" min="4" style="0" width="24"/>
    <col collapsed="false" customWidth="true" hidden="false" outlineLevel="0" max="5" min="5" style="0" width="62"/>
    <col collapsed="false" customWidth="true" hidden="false" outlineLevel="0" max="6" min="6" style="0" width="56"/>
    <col collapsed="false" customWidth="true" hidden="false" outlineLevel="0" max="7" min="7" style="0" width="16"/>
    <col collapsed="false" customWidth="true" hidden="false" outlineLevel="0" max="8" min="8" style="0" width="12"/>
    <col collapsed="false" customWidth="true" hidden="false" outlineLevel="0" max="9" min="9" style="0" width="58"/>
  </cols>
  <sheetData>
    <row r="1" customFormat="false" ht="31.5" hidden="false" customHeight="true" outlineLevel="0" collapsed="false">
      <c r="A1" s="5" t="s">
        <v>65</v>
      </c>
      <c r="B1" s="5" t="s">
        <v>189</v>
      </c>
      <c r="C1" s="5" t="s">
        <v>88</v>
      </c>
      <c r="D1" s="5" t="s">
        <v>190</v>
      </c>
      <c r="E1" s="5" t="s">
        <v>191</v>
      </c>
      <c r="F1" s="5" t="s">
        <v>192</v>
      </c>
      <c r="G1" s="5" t="s">
        <v>193</v>
      </c>
      <c r="H1" s="5" t="s">
        <v>194</v>
      </c>
      <c r="I1" s="5" t="s">
        <v>195</v>
      </c>
    </row>
    <row r="2" customFormat="false" ht="120" hidden="false" customHeight="true" outlineLevel="0" collapsed="false">
      <c r="A2" s="7" t="s">
        <v>196</v>
      </c>
      <c r="B2" s="8" t="s">
        <v>197</v>
      </c>
      <c r="C2" s="19" t="s">
        <v>198</v>
      </c>
      <c r="D2" s="6" t="s">
        <v>199</v>
      </c>
      <c r="E2" s="8" t="s">
        <v>200</v>
      </c>
      <c r="F2" s="8" t="s">
        <v>201</v>
      </c>
      <c r="G2" s="13"/>
      <c r="H2" s="20"/>
      <c r="I2" s="8" t="s">
        <v>202</v>
      </c>
    </row>
    <row r="3" customFormat="false" ht="120" hidden="false" customHeight="true" outlineLevel="0" collapsed="false">
      <c r="A3" s="7" t="s">
        <v>203</v>
      </c>
      <c r="B3" s="8" t="s">
        <v>204</v>
      </c>
      <c r="C3" s="19" t="s">
        <v>198</v>
      </c>
      <c r="D3" s="6" t="s">
        <v>205</v>
      </c>
      <c r="E3" s="8" t="s">
        <v>206</v>
      </c>
      <c r="F3" s="8" t="s">
        <v>207</v>
      </c>
      <c r="G3" s="13"/>
      <c r="H3" s="20"/>
      <c r="I3" s="8" t="s">
        <v>208</v>
      </c>
    </row>
    <row r="4" customFormat="false" ht="120" hidden="false" customHeight="true" outlineLevel="0" collapsed="false">
      <c r="A4" s="7" t="s">
        <v>209</v>
      </c>
      <c r="B4" s="8" t="s">
        <v>210</v>
      </c>
      <c r="C4" s="19" t="s">
        <v>198</v>
      </c>
      <c r="D4" s="6" t="s">
        <v>211</v>
      </c>
      <c r="E4" s="8" t="s">
        <v>212</v>
      </c>
      <c r="F4" s="8" t="s">
        <v>213</v>
      </c>
      <c r="G4" s="13"/>
      <c r="H4" s="20"/>
      <c r="I4" s="8" t="s">
        <v>214</v>
      </c>
    </row>
    <row r="5" customFormat="false" ht="120" hidden="false" customHeight="true" outlineLevel="0" collapsed="false">
      <c r="A5" s="7" t="s">
        <v>215</v>
      </c>
      <c r="B5" s="8" t="s">
        <v>216</v>
      </c>
      <c r="C5" s="19" t="s">
        <v>198</v>
      </c>
      <c r="D5" s="6" t="s">
        <v>217</v>
      </c>
      <c r="E5" s="8" t="s">
        <v>218</v>
      </c>
      <c r="F5" s="8" t="s">
        <v>219</v>
      </c>
      <c r="G5" s="13"/>
      <c r="H5" s="20"/>
      <c r="I5" s="8" t="s">
        <v>220</v>
      </c>
    </row>
    <row r="6" customFormat="false" ht="120" hidden="false" customHeight="true" outlineLevel="0" collapsed="false">
      <c r="A6" s="7" t="s">
        <v>221</v>
      </c>
      <c r="B6" s="8" t="s">
        <v>222</v>
      </c>
      <c r="C6" s="19" t="s">
        <v>198</v>
      </c>
      <c r="D6" s="6" t="s">
        <v>223</v>
      </c>
      <c r="E6" s="8" t="s">
        <v>224</v>
      </c>
      <c r="F6" s="8" t="s">
        <v>225</v>
      </c>
      <c r="G6" s="13"/>
      <c r="H6" s="20"/>
      <c r="I6" s="8" t="s">
        <v>226</v>
      </c>
    </row>
    <row r="7" customFormat="false" ht="120" hidden="false" customHeight="true" outlineLevel="0" collapsed="false">
      <c r="A7" s="7" t="s">
        <v>227</v>
      </c>
      <c r="B7" s="8" t="s">
        <v>228</v>
      </c>
      <c r="C7" s="19" t="s">
        <v>198</v>
      </c>
      <c r="D7" s="6" t="s">
        <v>199</v>
      </c>
      <c r="E7" s="8" t="s">
        <v>229</v>
      </c>
      <c r="F7" s="8" t="s">
        <v>230</v>
      </c>
      <c r="G7" s="13"/>
      <c r="H7" s="20"/>
      <c r="I7" s="8" t="s">
        <v>231</v>
      </c>
    </row>
    <row r="8" customFormat="false" ht="120" hidden="false" customHeight="true" outlineLevel="0" collapsed="false">
      <c r="A8" s="7" t="s">
        <v>232</v>
      </c>
      <c r="B8" s="8" t="s">
        <v>233</v>
      </c>
      <c r="C8" s="19" t="s">
        <v>198</v>
      </c>
      <c r="D8" s="6" t="s">
        <v>199</v>
      </c>
      <c r="E8" s="8" t="s">
        <v>234</v>
      </c>
      <c r="F8" s="8" t="s">
        <v>235</v>
      </c>
      <c r="G8" s="13"/>
      <c r="H8" s="20"/>
      <c r="I8" s="8" t="s">
        <v>236</v>
      </c>
    </row>
    <row r="9" customFormat="false" ht="120" hidden="false" customHeight="true" outlineLevel="0" collapsed="false">
      <c r="A9" s="7" t="s">
        <v>237</v>
      </c>
      <c r="B9" s="8" t="s">
        <v>238</v>
      </c>
      <c r="C9" s="19" t="s">
        <v>198</v>
      </c>
      <c r="D9" s="6" t="s">
        <v>239</v>
      </c>
      <c r="E9" s="8" t="s">
        <v>240</v>
      </c>
      <c r="F9" s="8" t="s">
        <v>241</v>
      </c>
      <c r="G9" s="13"/>
      <c r="H9" s="20"/>
      <c r="I9" s="8" t="s">
        <v>242</v>
      </c>
    </row>
    <row r="10" customFormat="false" ht="120" hidden="false" customHeight="true" outlineLevel="0" collapsed="false">
      <c r="A10" s="7" t="s">
        <v>243</v>
      </c>
      <c r="B10" s="8" t="s">
        <v>244</v>
      </c>
      <c r="C10" s="19" t="s">
        <v>198</v>
      </c>
      <c r="D10" s="6" t="s">
        <v>245</v>
      </c>
      <c r="E10" s="8" t="s">
        <v>246</v>
      </c>
      <c r="F10" s="8" t="s">
        <v>247</v>
      </c>
      <c r="G10" s="13"/>
      <c r="H10" s="20"/>
      <c r="I10" s="8" t="s">
        <v>248</v>
      </c>
    </row>
    <row r="11" customFormat="false" ht="120" hidden="false" customHeight="true" outlineLevel="0" collapsed="false">
      <c r="A11" s="7" t="s">
        <v>249</v>
      </c>
      <c r="B11" s="8" t="s">
        <v>250</v>
      </c>
      <c r="C11" s="19" t="s">
        <v>198</v>
      </c>
      <c r="D11" s="6" t="s">
        <v>251</v>
      </c>
      <c r="E11" s="8" t="s">
        <v>252</v>
      </c>
      <c r="F11" s="8" t="s">
        <v>253</v>
      </c>
      <c r="G11" s="13"/>
      <c r="H11" s="20"/>
      <c r="I11" s="8" t="s">
        <v>254</v>
      </c>
    </row>
    <row r="12" customFormat="false" ht="120" hidden="false" customHeight="true" outlineLevel="0" collapsed="false">
      <c r="A12" s="7" t="s">
        <v>255</v>
      </c>
      <c r="B12" s="8" t="s">
        <v>256</v>
      </c>
      <c r="C12" s="19" t="s">
        <v>198</v>
      </c>
      <c r="D12" s="6" t="s">
        <v>223</v>
      </c>
      <c r="E12" s="8" t="s">
        <v>257</v>
      </c>
      <c r="F12" s="8" t="s">
        <v>258</v>
      </c>
      <c r="G12" s="13"/>
      <c r="H12" s="20"/>
      <c r="I12" s="8" t="s">
        <v>259</v>
      </c>
    </row>
    <row r="13" customFormat="false" ht="120" hidden="false" customHeight="true" outlineLevel="0" collapsed="false">
      <c r="A13" s="7" t="s">
        <v>260</v>
      </c>
      <c r="B13" s="8" t="s">
        <v>261</v>
      </c>
      <c r="C13" s="19" t="s">
        <v>198</v>
      </c>
      <c r="D13" s="6" t="s">
        <v>262</v>
      </c>
      <c r="E13" s="8" t="s">
        <v>263</v>
      </c>
      <c r="F13" s="8" t="s">
        <v>264</v>
      </c>
      <c r="G13" s="13"/>
      <c r="H13" s="20"/>
      <c r="I13" s="8" t="s">
        <v>265</v>
      </c>
    </row>
    <row r="15" customFormat="false" ht="53.7" hidden="false" customHeight="false" outlineLevel="0" collapsed="false">
      <c r="B15" s="21" t="s">
        <v>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60"/>
    <col collapsed="false" customWidth="true" hidden="false" outlineLevel="0" max="4" min="4" style="0" width="52"/>
    <col collapsed="false" customWidth="true" hidden="false" outlineLevel="0" max="5" min="5" style="0" width="62"/>
    <col collapsed="false" customWidth="true" hidden="false" outlineLevel="0" max="6" min="6" style="0" width="22"/>
    <col collapsed="false" customWidth="true" hidden="false" outlineLevel="0" max="7" min="7" style="0" width="40"/>
  </cols>
  <sheetData>
    <row r="1" customFormat="false" ht="31.5" hidden="false" customHeight="true" outlineLevel="0" collapsed="false">
      <c r="A1" s="5" t="s">
        <v>13</v>
      </c>
      <c r="B1" s="5" t="s">
        <v>267</v>
      </c>
      <c r="C1" s="5" t="s">
        <v>268</v>
      </c>
      <c r="D1" s="5" t="s">
        <v>269</v>
      </c>
      <c r="E1" s="5" t="s">
        <v>270</v>
      </c>
      <c r="F1" s="5" t="s">
        <v>271</v>
      </c>
      <c r="G1" s="5" t="s">
        <v>272</v>
      </c>
    </row>
    <row r="2" customFormat="false" ht="117.75" hidden="false" customHeight="true" outlineLevel="0" collapsed="false">
      <c r="A2" s="7" t="n">
        <v>1</v>
      </c>
      <c r="B2" s="8" t="s">
        <v>169</v>
      </c>
      <c r="C2" s="8" t="s">
        <v>273</v>
      </c>
      <c r="D2" s="8" t="s">
        <v>274</v>
      </c>
      <c r="E2" s="8" t="s">
        <v>275</v>
      </c>
      <c r="F2" s="6" t="s">
        <v>276</v>
      </c>
      <c r="G2" s="8" t="s">
        <v>277</v>
      </c>
    </row>
    <row r="3" customFormat="false" ht="117.75" hidden="false" customHeight="true" outlineLevel="0" collapsed="false">
      <c r="A3" s="7" t="n">
        <v>2</v>
      </c>
      <c r="B3" s="8" t="s">
        <v>278</v>
      </c>
      <c r="C3" s="8" t="s">
        <v>279</v>
      </c>
      <c r="D3" s="8" t="s">
        <v>280</v>
      </c>
      <c r="E3" s="8" t="s">
        <v>281</v>
      </c>
      <c r="F3" s="6" t="s">
        <v>282</v>
      </c>
      <c r="G3" s="8" t="s">
        <v>283</v>
      </c>
    </row>
    <row r="4" customFormat="false" ht="117.75" hidden="false" customHeight="true" outlineLevel="0" collapsed="false">
      <c r="A4" s="7" t="n">
        <v>3</v>
      </c>
      <c r="B4" s="8" t="s">
        <v>284</v>
      </c>
      <c r="C4" s="8" t="s">
        <v>285</v>
      </c>
      <c r="D4" s="8" t="s">
        <v>286</v>
      </c>
      <c r="E4" s="8" t="s">
        <v>287</v>
      </c>
      <c r="F4" s="6" t="s">
        <v>276</v>
      </c>
      <c r="G4" s="8" t="s">
        <v>288</v>
      </c>
    </row>
    <row r="5" customFormat="false" ht="117.75" hidden="false" customHeight="true" outlineLevel="0" collapsed="false">
      <c r="A5" s="22" t="n">
        <v>4</v>
      </c>
      <c r="B5" s="23" t="s">
        <v>289</v>
      </c>
      <c r="C5" s="23" t="s">
        <v>290</v>
      </c>
      <c r="D5" s="23" t="s">
        <v>291</v>
      </c>
      <c r="E5" s="23" t="s">
        <v>292</v>
      </c>
      <c r="F5" s="24" t="s">
        <v>282</v>
      </c>
      <c r="G5" s="23" t="s">
        <v>293</v>
      </c>
    </row>
    <row r="6" customFormat="false" ht="117.75" hidden="false" customHeight="true" outlineLevel="0" collapsed="false">
      <c r="A6" s="7" t="n">
        <v>5</v>
      </c>
      <c r="B6" s="8" t="s">
        <v>294</v>
      </c>
      <c r="C6" s="8" t="s">
        <v>295</v>
      </c>
      <c r="D6" s="8" t="s">
        <v>296</v>
      </c>
      <c r="E6" s="8" t="s">
        <v>297</v>
      </c>
      <c r="F6" s="6" t="s">
        <v>298</v>
      </c>
      <c r="G6" s="8" t="s">
        <v>299</v>
      </c>
    </row>
    <row r="7" customFormat="false" ht="117.75" hidden="false" customHeight="true" outlineLevel="0" collapsed="false">
      <c r="A7" s="7" t="n">
        <v>6</v>
      </c>
      <c r="B7" s="8" t="s">
        <v>300</v>
      </c>
      <c r="C7" s="8" t="s">
        <v>301</v>
      </c>
      <c r="D7" s="8" t="s">
        <v>302</v>
      </c>
      <c r="E7" s="8" t="s">
        <v>303</v>
      </c>
      <c r="F7" s="6" t="s">
        <v>282</v>
      </c>
      <c r="G7" s="8" t="s">
        <v>304</v>
      </c>
    </row>
    <row r="8" customFormat="false" ht="117.75" hidden="false" customHeight="true" outlineLevel="0" collapsed="false">
      <c r="A8" s="7" t="n">
        <v>7</v>
      </c>
      <c r="B8" s="8" t="s">
        <v>305</v>
      </c>
      <c r="C8" s="8" t="s">
        <v>306</v>
      </c>
      <c r="D8" s="8" t="s">
        <v>307</v>
      </c>
      <c r="E8" s="8" t="s">
        <v>308</v>
      </c>
      <c r="F8" s="6" t="s">
        <v>282</v>
      </c>
      <c r="G8" s="8" t="s">
        <v>309</v>
      </c>
    </row>
    <row r="9" customFormat="false" ht="117.75" hidden="false" customHeight="true" outlineLevel="0" collapsed="false">
      <c r="A9" s="7" t="n">
        <v>8</v>
      </c>
      <c r="B9" s="8" t="s">
        <v>310</v>
      </c>
      <c r="C9" s="8" t="s">
        <v>311</v>
      </c>
      <c r="D9" s="8" t="s">
        <v>312</v>
      </c>
      <c r="E9" s="8" t="s">
        <v>313</v>
      </c>
      <c r="F9" s="6" t="s">
        <v>282</v>
      </c>
      <c r="G9" s="8" t="s">
        <v>314</v>
      </c>
    </row>
    <row r="10" customFormat="false" ht="117.75" hidden="false" customHeight="true" outlineLevel="0" collapsed="false">
      <c r="A10" s="7" t="n">
        <v>9</v>
      </c>
      <c r="B10" s="8" t="s">
        <v>315</v>
      </c>
      <c r="C10" s="8" t="s">
        <v>316</v>
      </c>
      <c r="D10" s="8" t="s">
        <v>317</v>
      </c>
      <c r="E10" s="8" t="s">
        <v>318</v>
      </c>
      <c r="F10" s="6" t="s">
        <v>298</v>
      </c>
      <c r="G10" s="8" t="s">
        <v>319</v>
      </c>
    </row>
    <row r="11" customFormat="false" ht="117.75" hidden="false" customHeight="true" outlineLevel="0" collapsed="false">
      <c r="A11" s="7" t="n">
        <v>10</v>
      </c>
      <c r="B11" s="8" t="s">
        <v>320</v>
      </c>
      <c r="C11" s="8" t="s">
        <v>321</v>
      </c>
      <c r="D11" s="8" t="s">
        <v>322</v>
      </c>
      <c r="E11" s="8" t="s">
        <v>323</v>
      </c>
      <c r="F11" s="6" t="s">
        <v>324</v>
      </c>
      <c r="G11" s="8" t="s">
        <v>325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8"/>
    <col collapsed="false" customWidth="true" hidden="false" outlineLevel="0" max="3" min="3" style="0" width="40"/>
    <col collapsed="false" customWidth="true" hidden="false" outlineLevel="0" max="4" min="4" style="0" width="54"/>
    <col collapsed="false" customWidth="true" hidden="false" outlineLevel="0" max="5" min="5" style="0" width="22"/>
    <col collapsed="false" customWidth="true" hidden="false" outlineLevel="0" max="6" min="6" style="0" width="52"/>
    <col collapsed="false" customWidth="true" hidden="false" outlineLevel="0" max="7" min="7" style="0" width="58"/>
  </cols>
  <sheetData>
    <row r="1" customFormat="false" ht="31.5" hidden="false" customHeight="true" outlineLevel="0" collapsed="false">
      <c r="A1" s="5" t="s">
        <v>326</v>
      </c>
      <c r="B1" s="5" t="s">
        <v>327</v>
      </c>
      <c r="C1" s="5" t="s">
        <v>328</v>
      </c>
      <c r="D1" s="5" t="s">
        <v>329</v>
      </c>
      <c r="E1" s="5" t="s">
        <v>330</v>
      </c>
      <c r="F1" s="5" t="s">
        <v>331</v>
      </c>
      <c r="G1" s="5" t="s">
        <v>332</v>
      </c>
    </row>
    <row r="2" customFormat="false" ht="87.75" hidden="false" customHeight="true" outlineLevel="0" collapsed="false">
      <c r="A2" s="7" t="s">
        <v>333</v>
      </c>
      <c r="B2" s="6" t="n">
        <v>30</v>
      </c>
      <c r="C2" s="8" t="s">
        <v>334</v>
      </c>
      <c r="D2" s="8" t="s">
        <v>335</v>
      </c>
      <c r="E2" s="6" t="s">
        <v>336</v>
      </c>
      <c r="F2" s="8" t="s">
        <v>337</v>
      </c>
      <c r="G2" s="8" t="s">
        <v>338</v>
      </c>
    </row>
    <row r="3" customFormat="false" ht="87.75" hidden="false" customHeight="true" outlineLevel="0" collapsed="false">
      <c r="A3" s="7" t="s">
        <v>339</v>
      </c>
      <c r="B3" s="6" t="n">
        <v>30</v>
      </c>
      <c r="C3" s="8" t="s">
        <v>340</v>
      </c>
      <c r="D3" s="8" t="s">
        <v>341</v>
      </c>
      <c r="E3" s="6" t="s">
        <v>342</v>
      </c>
      <c r="F3" s="8" t="s">
        <v>343</v>
      </c>
      <c r="G3" s="8" t="s">
        <v>344</v>
      </c>
    </row>
    <row r="4" customFormat="false" ht="87.75" hidden="false" customHeight="true" outlineLevel="0" collapsed="false">
      <c r="A4" s="7" t="s">
        <v>345</v>
      </c>
      <c r="B4" s="6" t="n">
        <v>25</v>
      </c>
      <c r="C4" s="8" t="s">
        <v>346</v>
      </c>
      <c r="D4" s="8" t="s">
        <v>347</v>
      </c>
      <c r="E4" s="6" t="s">
        <v>348</v>
      </c>
      <c r="F4" s="8" t="s">
        <v>349</v>
      </c>
      <c r="G4" s="8" t="s">
        <v>350</v>
      </c>
    </row>
    <row r="5" customFormat="false" ht="87.75" hidden="false" customHeight="true" outlineLevel="0" collapsed="false">
      <c r="A5" s="7" t="s">
        <v>351</v>
      </c>
      <c r="B5" s="6" t="n">
        <v>15</v>
      </c>
      <c r="C5" s="8" t="s">
        <v>352</v>
      </c>
      <c r="D5" s="8" t="s">
        <v>353</v>
      </c>
      <c r="E5" s="6" t="s">
        <v>354</v>
      </c>
      <c r="F5" s="8" t="s">
        <v>355</v>
      </c>
      <c r="G5" s="8" t="s">
        <v>356</v>
      </c>
    </row>
    <row r="7" customFormat="false" ht="15" hidden="false" customHeight="false" outlineLevel="0" collapsed="false">
      <c r="A7" s="9" t="s">
        <v>357</v>
      </c>
    </row>
    <row r="8" customFormat="false" ht="23.85" hidden="false" customHeight="false" outlineLevel="0" collapsed="false">
      <c r="A8" s="6" t="s">
        <v>358</v>
      </c>
      <c r="B8" s="6" t="s">
        <v>359</v>
      </c>
      <c r="C8" s="8" t="s">
        <v>360</v>
      </c>
    </row>
    <row r="9" customFormat="false" ht="15" hidden="false" customHeight="false" outlineLevel="0" collapsed="false">
      <c r="A9" s="6" t="s">
        <v>361</v>
      </c>
      <c r="B9" s="6" t="s">
        <v>362</v>
      </c>
      <c r="C9" s="8" t="s">
        <v>363</v>
      </c>
    </row>
    <row r="10" customFormat="false" ht="23.85" hidden="false" customHeight="false" outlineLevel="0" collapsed="false">
      <c r="A10" s="6" t="s">
        <v>364</v>
      </c>
      <c r="B10" s="6" t="s">
        <v>365</v>
      </c>
      <c r="C10" s="8" t="s">
        <v>366</v>
      </c>
    </row>
    <row r="11" customFormat="false" ht="23.85" hidden="false" customHeight="false" outlineLevel="0" collapsed="false">
      <c r="A11" s="6" t="s">
        <v>367</v>
      </c>
      <c r="B11" s="6" t="s">
        <v>368</v>
      </c>
      <c r="C11" s="8" t="s">
        <v>369</v>
      </c>
    </row>
    <row r="12" customFormat="false" ht="23.85" hidden="false" customHeight="false" outlineLevel="0" collapsed="false">
      <c r="A12" s="6" t="s">
        <v>370</v>
      </c>
      <c r="B12" s="6" t="s">
        <v>371</v>
      </c>
      <c r="C12" s="8" t="s">
        <v>372</v>
      </c>
    </row>
    <row r="14" customFormat="false" ht="15" hidden="false" customHeight="false" outlineLevel="0" collapsed="false">
      <c r="A14" s="25" t="s">
        <v>373</v>
      </c>
    </row>
    <row r="15" customFormat="false" ht="15" hidden="false" customHeight="true" outlineLevel="0" collapsed="false">
      <c r="A15" s="4" t="s">
        <v>374</v>
      </c>
      <c r="B15" s="4"/>
      <c r="C15" s="4"/>
      <c r="D15" s="4"/>
      <c r="E15" s="4"/>
      <c r="F15" s="4"/>
      <c r="G15" s="4"/>
    </row>
    <row r="16" customFormat="false" ht="15" hidden="false" customHeight="false" outlineLevel="0" collapsed="false">
      <c r="A16" s="4"/>
      <c r="B16" s="4"/>
      <c r="C16" s="4"/>
      <c r="D16" s="4"/>
      <c r="E16" s="4"/>
      <c r="F16" s="4"/>
      <c r="G16" s="4"/>
    </row>
    <row r="17" customFormat="false" ht="15" hidden="false" customHeight="false" outlineLevel="0" collapsed="false">
      <c r="A17" s="4"/>
      <c r="B17" s="4"/>
      <c r="C17" s="4"/>
      <c r="D17" s="4"/>
      <c r="E17" s="4"/>
      <c r="F17" s="4"/>
      <c r="G17" s="4"/>
    </row>
    <row r="18" customFormat="false" ht="15" hidden="false" customHeight="false" outlineLevel="0" collapsed="false">
      <c r="A18" s="4"/>
      <c r="B18" s="4"/>
      <c r="C18" s="4"/>
      <c r="D18" s="4"/>
      <c r="E18" s="4"/>
      <c r="F18" s="4"/>
      <c r="G18" s="4"/>
    </row>
    <row r="19" customFormat="false" ht="15" hidden="false" customHeight="false" outlineLevel="0" collapsed="false">
      <c r="A19" s="4"/>
      <c r="B19" s="4"/>
      <c r="C19" s="4"/>
      <c r="D19" s="4"/>
      <c r="E19" s="4"/>
      <c r="F19" s="4"/>
      <c r="G19" s="4"/>
    </row>
    <row r="20" customFormat="false" ht="15" hidden="false" customHeight="false" outlineLevel="0" collapsed="false">
      <c r="A20" s="4"/>
      <c r="B20" s="4"/>
      <c r="C20" s="4"/>
      <c r="D20" s="4"/>
      <c r="E20" s="4"/>
      <c r="F20" s="4"/>
      <c r="G20" s="4"/>
    </row>
  </sheetData>
  <mergeCells count="1">
    <mergeCell ref="A15:G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13"/>
    <col collapsed="false" customWidth="true" hidden="false" outlineLevel="0" max="4" min="4" style="0" width="15"/>
    <col collapsed="false" customWidth="true" hidden="false" outlineLevel="0" max="5" min="5" style="0" width="16"/>
    <col collapsed="false" customWidth="true" hidden="false" outlineLevel="0" max="6" min="6" style="0" width="15"/>
    <col collapsed="false" customWidth="true" hidden="false" outlineLevel="0" max="7" min="7" style="0" width="10"/>
    <col collapsed="false" customWidth="true" hidden="false" outlineLevel="0" max="8" min="8" style="0" width="16"/>
    <col collapsed="false" customWidth="true" hidden="false" outlineLevel="0" max="9" min="9" style="0" width="17"/>
    <col collapsed="false" customWidth="true" hidden="false" outlineLevel="0" max="10" min="10" style="0" width="52"/>
  </cols>
  <sheetData>
    <row r="1" customFormat="false" ht="31.5" hidden="false" customHeight="true" outlineLevel="0" collapsed="false">
      <c r="A1" s="5" t="s">
        <v>65</v>
      </c>
      <c r="B1" s="5" t="s">
        <v>66</v>
      </c>
      <c r="C1" s="5" t="s">
        <v>375</v>
      </c>
      <c r="D1" s="5" t="s">
        <v>376</v>
      </c>
      <c r="E1" s="5" t="s">
        <v>377</v>
      </c>
      <c r="F1" s="5" t="s">
        <v>378</v>
      </c>
      <c r="G1" s="5" t="s">
        <v>379</v>
      </c>
      <c r="H1" s="5" t="s">
        <v>380</v>
      </c>
      <c r="I1" s="5" t="s">
        <v>381</v>
      </c>
      <c r="J1" s="5" t="s">
        <v>382</v>
      </c>
    </row>
    <row r="2" customFormat="false" ht="42" hidden="false" customHeight="true" outlineLevel="0" collapsed="false">
      <c r="A2" s="10" t="s">
        <v>90</v>
      </c>
      <c r="B2" s="6" t="s">
        <v>91</v>
      </c>
      <c r="C2" s="6" t="s">
        <v>99</v>
      </c>
      <c r="D2" s="6" t="s">
        <v>383</v>
      </c>
      <c r="E2" s="14" t="n">
        <v>46248</v>
      </c>
      <c r="F2" s="20"/>
      <c r="G2" s="16" t="n">
        <f aca="true">TODAY()-E2</f>
        <v>1</v>
      </c>
      <c r="H2" s="16" t="str">
        <f aca="true">IF(D2="expected next",IF(F2="","NO NEXT DATE SET",IF(TODAY()&gt;F2,"STALE","ok")),IF(G2&gt;IF(C2="hourly",1,2),"STALE","ok"))</f>
        <v>ok</v>
      </c>
      <c r="I2" s="26" t="s">
        <v>98</v>
      </c>
      <c r="J2" s="8"/>
    </row>
    <row r="3" customFormat="false" ht="42" hidden="false" customHeight="true" outlineLevel="0" collapsed="false">
      <c r="A3" s="10" t="s">
        <v>105</v>
      </c>
      <c r="B3" s="6" t="s">
        <v>106</v>
      </c>
      <c r="C3" s="6" t="s">
        <v>109</v>
      </c>
      <c r="D3" s="6" t="s">
        <v>383</v>
      </c>
      <c r="E3" s="14" t="n">
        <v>46248</v>
      </c>
      <c r="F3" s="20"/>
      <c r="G3" s="16" t="n">
        <f aca="true">TODAY()-E3</f>
        <v>1</v>
      </c>
      <c r="H3" s="16" t="str">
        <f aca="true">IF(D3="expected next",IF(F3="","NO NEXT DATE SET",IF(TODAY()&gt;F3,"STALE","ok")),IF(G3&gt;IF(C3="hourly",1,2),"STALE","ok"))</f>
        <v>ok</v>
      </c>
      <c r="I3" s="26" t="s">
        <v>98</v>
      </c>
      <c r="J3" s="8"/>
    </row>
    <row r="4" customFormat="false" ht="42" hidden="false" customHeight="true" outlineLevel="0" collapsed="false">
      <c r="A4" s="10" t="s">
        <v>113</v>
      </c>
      <c r="B4" s="6" t="s">
        <v>180</v>
      </c>
      <c r="C4" s="6" t="s">
        <v>99</v>
      </c>
      <c r="D4" s="6" t="s">
        <v>383</v>
      </c>
      <c r="E4" s="14" t="n">
        <v>46248</v>
      </c>
      <c r="F4" s="20"/>
      <c r="G4" s="16" t="n">
        <f aca="true">TODAY()-E4</f>
        <v>1</v>
      </c>
      <c r="H4" s="16" t="str">
        <f aca="true">IF(D4="expected next",IF(F4="","NO NEXT DATE SET",IF(TODAY()&gt;F4,"STALE","ok")),IF(G4&gt;IF(C4="hourly",1,2),"STALE","ok"))</f>
        <v>ok</v>
      </c>
      <c r="I4" s="26" t="s">
        <v>98</v>
      </c>
      <c r="J4" s="8"/>
    </row>
    <row r="5" customFormat="false" ht="42" hidden="false" customHeight="true" outlineLevel="0" collapsed="false">
      <c r="A5" s="10" t="s">
        <v>122</v>
      </c>
      <c r="B5" s="6" t="s">
        <v>123</v>
      </c>
      <c r="C5" s="6" t="s">
        <v>127</v>
      </c>
      <c r="D5" s="6" t="s">
        <v>384</v>
      </c>
      <c r="E5" s="14" t="n">
        <v>46246</v>
      </c>
      <c r="F5" s="20" t="n">
        <v>46284</v>
      </c>
      <c r="G5" s="16" t="n">
        <f aca="true">TODAY()-E5</f>
        <v>3</v>
      </c>
      <c r="H5" s="16" t="str">
        <f aca="true">IF(D5="expected next",IF(F5="","NO NEXT DATE SET",IF(TODAY()&gt;F5,"STALE","ok")),IF(G5&gt;IF(C5="hourly",1,2),"STALE","ok"))</f>
        <v>ok</v>
      </c>
      <c r="I5" s="27" t="s">
        <v>385</v>
      </c>
      <c r="J5" s="8" t="s">
        <v>386</v>
      </c>
    </row>
    <row r="6" customFormat="false" ht="42" hidden="false" customHeight="true" outlineLevel="0" collapsed="false">
      <c r="A6" s="10" t="s">
        <v>131</v>
      </c>
      <c r="B6" s="6" t="s">
        <v>132</v>
      </c>
      <c r="C6" s="6" t="s">
        <v>99</v>
      </c>
      <c r="D6" s="6" t="s">
        <v>383</v>
      </c>
      <c r="E6" s="14" t="n">
        <v>46248</v>
      </c>
      <c r="F6" s="20"/>
      <c r="G6" s="16" t="n">
        <f aca="true">TODAY()-E6</f>
        <v>1</v>
      </c>
      <c r="H6" s="16" t="str">
        <f aca="true">IF(D6="expected next",IF(F6="","NO NEXT DATE SET",IF(TODAY()&gt;F6,"STALE","ok")),IF(G6&gt;IF(C6="hourly",1,2),"STALE","ok"))</f>
        <v>ok</v>
      </c>
      <c r="I6" s="26" t="s">
        <v>98</v>
      </c>
      <c r="J6" s="8"/>
    </row>
    <row r="7" customFormat="false" ht="42" hidden="false" customHeight="true" outlineLevel="0" collapsed="false">
      <c r="A7" s="10" t="s">
        <v>134</v>
      </c>
      <c r="B7" s="6" t="s">
        <v>135</v>
      </c>
      <c r="C7" s="6" t="s">
        <v>140</v>
      </c>
      <c r="D7" s="6" t="s">
        <v>384</v>
      </c>
      <c r="E7" s="14" t="n">
        <v>46168</v>
      </c>
      <c r="F7" s="20" t="n">
        <v>46374</v>
      </c>
      <c r="G7" s="16" t="n">
        <f aca="true">TODAY()-E7</f>
        <v>81</v>
      </c>
      <c r="H7" s="16" t="str">
        <f aca="true">IF(D7="expected next",IF(F7="","NO NEXT DATE SET",IF(TODAY()&gt;F7,"STALE","ok")),IF(G7&gt;IF(C7="hourly",1,2),"STALE","ok"))</f>
        <v>ok</v>
      </c>
      <c r="I7" s="27" t="s">
        <v>385</v>
      </c>
      <c r="J7" s="8" t="s">
        <v>387</v>
      </c>
    </row>
    <row r="8" customFormat="false" ht="42" hidden="false" customHeight="true" outlineLevel="0" collapsed="false">
      <c r="A8" s="10" t="s">
        <v>145</v>
      </c>
      <c r="B8" s="6" t="s">
        <v>146</v>
      </c>
      <c r="C8" s="6" t="s">
        <v>99</v>
      </c>
      <c r="D8" s="6" t="s">
        <v>383</v>
      </c>
      <c r="E8" s="14" t="n">
        <v>46225</v>
      </c>
      <c r="F8" s="20"/>
      <c r="G8" s="16" t="n">
        <f aca="true">TODAY()-E8</f>
        <v>24</v>
      </c>
      <c r="H8" s="16" t="str">
        <f aca="true">IF(D8="expected next",IF(F8="","NO NEXT DATE SET",IF(TODAY()&gt;F8,"STALE","ok")),IF(G8&gt;IF(C8="hourly",1,2),"STALE","ok"))</f>
        <v>STALE</v>
      </c>
      <c r="I8" s="26" t="s">
        <v>98</v>
      </c>
      <c r="J8" s="8" t="s">
        <v>388</v>
      </c>
    </row>
    <row r="9" customFormat="false" ht="42" hidden="false" customHeight="true" outlineLevel="0" collapsed="false">
      <c r="A9" s="10" t="s">
        <v>150</v>
      </c>
      <c r="B9" s="6" t="s">
        <v>151</v>
      </c>
      <c r="C9" s="6" t="s">
        <v>127</v>
      </c>
      <c r="D9" s="6" t="s">
        <v>384</v>
      </c>
      <c r="E9" s="14" t="n">
        <v>46084</v>
      </c>
      <c r="F9" s="20" t="n">
        <v>46448</v>
      </c>
      <c r="G9" s="16" t="n">
        <f aca="true">TODAY()-E9</f>
        <v>165</v>
      </c>
      <c r="H9" s="16" t="str">
        <f aca="true">IF(D9="expected next",IF(F9="","NO NEXT DATE SET",IF(TODAY()&gt;F9,"STALE","ok")),IF(G9&gt;IF(C9="hourly",1,2),"STALE","ok"))</f>
        <v>ok</v>
      </c>
      <c r="I9" s="27" t="s">
        <v>385</v>
      </c>
      <c r="J9" s="8" t="s">
        <v>389</v>
      </c>
    </row>
    <row r="10" customFormat="false" ht="42" hidden="false" customHeight="true" outlineLevel="0" collapsed="false">
      <c r="A10" s="10" t="s">
        <v>158</v>
      </c>
      <c r="B10" s="6" t="s">
        <v>160</v>
      </c>
      <c r="C10" s="6" t="s">
        <v>162</v>
      </c>
      <c r="D10" s="6" t="s">
        <v>384</v>
      </c>
      <c r="E10" s="14" t="n">
        <v>46204</v>
      </c>
      <c r="F10" s="20" t="n">
        <v>46296</v>
      </c>
      <c r="G10" s="16" t="n">
        <f aca="true">TODAY()-E10</f>
        <v>45</v>
      </c>
      <c r="H10" s="16" t="str">
        <f aca="true">IF(D10="expected next",IF(F10="","NO NEXT DATE SET",IF(TODAY()&gt;F10,"STALE","ok")),IF(G10&gt;IF(C10="hourly",1,2),"STALE","ok"))</f>
        <v>ok</v>
      </c>
      <c r="I10" s="27" t="s">
        <v>385</v>
      </c>
      <c r="J10" s="8" t="s">
        <v>390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11" min="3" style="0" width="13"/>
    <col collapsed="false" customWidth="true" hidden="false" outlineLevel="0" max="12" min="12" style="0" width="8"/>
    <col collapsed="false" customWidth="true" hidden="false" outlineLevel="0" max="13" min="13" style="0" width="24"/>
    <col collapsed="false" customWidth="true" hidden="false" outlineLevel="0" max="14" min="14" style="0" width="26"/>
  </cols>
  <sheetData>
    <row r="1" customFormat="false" ht="31.5" hidden="false" customHeight="true" outlineLevel="0" collapsed="false">
      <c r="A1" s="5" t="s">
        <v>391</v>
      </c>
      <c r="B1" s="5" t="s">
        <v>392</v>
      </c>
      <c r="C1" s="5" t="s">
        <v>393</v>
      </c>
      <c r="D1" s="5" t="s">
        <v>394</v>
      </c>
      <c r="E1" s="5" t="s">
        <v>395</v>
      </c>
      <c r="F1" s="5" t="s">
        <v>396</v>
      </c>
      <c r="G1" s="5" t="s">
        <v>397</v>
      </c>
      <c r="H1" s="5" t="s">
        <v>398</v>
      </c>
      <c r="I1" s="5" t="s">
        <v>399</v>
      </c>
      <c r="J1" s="5" t="s">
        <v>400</v>
      </c>
      <c r="K1" s="5" t="s">
        <v>401</v>
      </c>
      <c r="L1" s="5" t="s">
        <v>402</v>
      </c>
      <c r="M1" s="5" t="s">
        <v>403</v>
      </c>
      <c r="N1" s="5" t="s">
        <v>404</v>
      </c>
    </row>
    <row r="2" customFormat="false" ht="15" hidden="false" customHeight="false" outlineLevel="0" collapsed="false">
      <c r="A2" s="28" t="s">
        <v>405</v>
      </c>
      <c r="B2" s="26" t="s">
        <v>406</v>
      </c>
      <c r="C2" s="29"/>
      <c r="D2" s="30" t="s">
        <v>407</v>
      </c>
      <c r="E2" s="30" t="s">
        <v>407</v>
      </c>
      <c r="F2" s="30" t="s">
        <v>407</v>
      </c>
      <c r="G2" s="30" t="s">
        <v>407</v>
      </c>
      <c r="H2" s="29"/>
      <c r="I2" s="30" t="s">
        <v>407</v>
      </c>
      <c r="J2" s="29"/>
      <c r="K2" s="29"/>
      <c r="L2" s="31" t="n">
        <f aca="false">COUNTIF(C2:K2,"W")</f>
        <v>5</v>
      </c>
      <c r="M2" s="32"/>
      <c r="N2" s="16" t="str">
        <f aca="false">IF(A2="Source_System__c  [BR-1]","by design",IF(A2="Created_By_Run__c  [BR-1]","by design",IF(L2&gt;1,"YES - "&amp;L2&amp;" writers","single writer")))</f>
        <v>YES - 5 writers</v>
      </c>
    </row>
    <row r="3" customFormat="false" ht="15" hidden="false" customHeight="false" outlineLevel="0" collapsed="false">
      <c r="A3" s="26" t="s">
        <v>408</v>
      </c>
      <c r="B3" s="26" t="s">
        <v>406</v>
      </c>
      <c r="C3" s="29"/>
      <c r="D3" s="30" t="s">
        <v>407</v>
      </c>
      <c r="E3" s="29" t="s">
        <v>409</v>
      </c>
      <c r="F3" s="29"/>
      <c r="G3" s="29" t="s">
        <v>409</v>
      </c>
      <c r="H3" s="29"/>
      <c r="I3" s="29" t="s">
        <v>409</v>
      </c>
      <c r="J3" s="29"/>
      <c r="K3" s="29"/>
      <c r="L3" s="31" t="n">
        <f aca="false">COUNTIF(C3:K3,"W")</f>
        <v>1</v>
      </c>
      <c r="M3" s="32"/>
      <c r="N3" s="16" t="str">
        <f aca="false">IF(A3="Source_System__c  [BR-1]","by design",IF(A3="Created_By_Run__c  [BR-1]","by design",IF(L3&gt;1,"YES - "&amp;L3&amp;" writers","single writer")))</f>
        <v>single writer</v>
      </c>
    </row>
    <row r="4" customFormat="false" ht="15" hidden="false" customHeight="false" outlineLevel="0" collapsed="false">
      <c r="A4" s="28" t="s">
        <v>410</v>
      </c>
      <c r="B4" s="26" t="s">
        <v>406</v>
      </c>
      <c r="C4" s="30" t="s">
        <v>407</v>
      </c>
      <c r="D4" s="30" t="s">
        <v>407</v>
      </c>
      <c r="E4" s="29"/>
      <c r="F4" s="30" t="s">
        <v>407</v>
      </c>
      <c r="G4" s="29"/>
      <c r="H4" s="29"/>
      <c r="I4" s="29"/>
      <c r="J4" s="29"/>
      <c r="K4" s="29"/>
      <c r="L4" s="31" t="n">
        <f aca="false">COUNTIF(C4:K4,"W")</f>
        <v>3</v>
      </c>
      <c r="M4" s="32"/>
      <c r="N4" s="16" t="str">
        <f aca="false">IF(A4="Source_System__c  [BR-1]","by design",IF(A4="Created_By_Run__c  [BR-1]","by design",IF(L4&gt;1,"YES - "&amp;L4&amp;" writers","single writer")))</f>
        <v>YES - 3 writers</v>
      </c>
    </row>
    <row r="5" customFormat="false" ht="15" hidden="false" customHeight="false" outlineLevel="0" collapsed="false">
      <c r="A5" s="28" t="s">
        <v>411</v>
      </c>
      <c r="B5" s="26" t="s">
        <v>406</v>
      </c>
      <c r="C5" s="29"/>
      <c r="D5" s="30" t="s">
        <v>407</v>
      </c>
      <c r="E5" s="30" t="s">
        <v>407</v>
      </c>
      <c r="F5" s="30" t="s">
        <v>407</v>
      </c>
      <c r="G5" s="29"/>
      <c r="H5" s="30" t="s">
        <v>407</v>
      </c>
      <c r="I5" s="30" t="s">
        <v>407</v>
      </c>
      <c r="J5" s="30" t="s">
        <v>407</v>
      </c>
      <c r="K5" s="29"/>
      <c r="L5" s="31" t="n">
        <f aca="false">COUNTIF(C5:K5,"W")</f>
        <v>6</v>
      </c>
      <c r="M5" s="32"/>
      <c r="N5" s="16" t="str">
        <f aca="false">IF(A5="Source_System__c  [BR-1]","by design",IF(A5="Created_By_Run__c  [BR-1]","by design",IF(L5&gt;1,"YES - "&amp;L5&amp;" writers","single writer")))</f>
        <v>YES - 6 writers</v>
      </c>
    </row>
    <row r="6" customFormat="false" ht="15" hidden="false" customHeight="false" outlineLevel="0" collapsed="false">
      <c r="A6" s="28" t="s">
        <v>412</v>
      </c>
      <c r="B6" s="26" t="s">
        <v>406</v>
      </c>
      <c r="C6" s="29"/>
      <c r="D6" s="30" t="s">
        <v>407</v>
      </c>
      <c r="E6" s="30" t="s">
        <v>407</v>
      </c>
      <c r="F6" s="30" t="s">
        <v>407</v>
      </c>
      <c r="G6" s="29"/>
      <c r="H6" s="30" t="s">
        <v>407</v>
      </c>
      <c r="I6" s="30" t="s">
        <v>407</v>
      </c>
      <c r="J6" s="30" t="s">
        <v>407</v>
      </c>
      <c r="K6" s="29"/>
      <c r="L6" s="31" t="n">
        <f aca="false">COUNTIF(C6:K6,"W")</f>
        <v>6</v>
      </c>
      <c r="M6" s="32"/>
      <c r="N6" s="16" t="str">
        <f aca="false">IF(A6="Source_System__c  [BR-1]","by design",IF(A6="Created_By_Run__c  [BR-1]","by design",IF(L6&gt;1,"YES - "&amp;L6&amp;" writers","single writer")))</f>
        <v>YES - 6 writers</v>
      </c>
    </row>
    <row r="7" customFormat="false" ht="15" hidden="false" customHeight="false" outlineLevel="0" collapsed="false">
      <c r="A7" s="26" t="s">
        <v>413</v>
      </c>
      <c r="B7" s="26" t="s">
        <v>406</v>
      </c>
      <c r="C7" s="29" t="s">
        <v>409</v>
      </c>
      <c r="D7" s="30" t="s">
        <v>407</v>
      </c>
      <c r="E7" s="29"/>
      <c r="F7" s="30" t="s">
        <v>407</v>
      </c>
      <c r="G7" s="29"/>
      <c r="H7" s="30" t="s">
        <v>407</v>
      </c>
      <c r="I7" s="29"/>
      <c r="J7" s="29"/>
      <c r="K7" s="29"/>
      <c r="L7" s="31" t="n">
        <f aca="false">COUNTIF(C7:K7,"W")</f>
        <v>3</v>
      </c>
      <c r="M7" s="32"/>
      <c r="N7" s="16" t="str">
        <f aca="false">IF(A7="Source_System__c  [BR-1]","by design",IF(A7="Created_By_Run__c  [BR-1]","by design",IF(L7&gt;1,"YES - "&amp;L7&amp;" writers","single writer")))</f>
        <v>YES - 3 writers</v>
      </c>
    </row>
    <row r="8" customFormat="false" ht="15" hidden="false" customHeight="false" outlineLevel="0" collapsed="false">
      <c r="A8" s="26" t="s">
        <v>414</v>
      </c>
      <c r="B8" s="26" t="s">
        <v>406</v>
      </c>
      <c r="C8" s="29"/>
      <c r="D8" s="30" t="s">
        <v>407</v>
      </c>
      <c r="E8" s="29"/>
      <c r="F8" s="30" t="s">
        <v>407</v>
      </c>
      <c r="G8" s="29"/>
      <c r="H8" s="30" t="s">
        <v>407</v>
      </c>
      <c r="I8" s="29"/>
      <c r="J8" s="30" t="s">
        <v>407</v>
      </c>
      <c r="K8" s="29"/>
      <c r="L8" s="31" t="n">
        <f aca="false">COUNTIF(C8:K8,"W")</f>
        <v>4</v>
      </c>
      <c r="M8" s="32"/>
      <c r="N8" s="16" t="str">
        <f aca="false">IF(A8="Source_System__c  [BR-1]","by design",IF(A8="Created_By_Run__c  [BR-1]","by design",IF(L8&gt;1,"YES - "&amp;L8&amp;" writers","single writer")))</f>
        <v>YES - 4 writers</v>
      </c>
    </row>
    <row r="9" customFormat="false" ht="15" hidden="false" customHeight="false" outlineLevel="0" collapsed="false">
      <c r="A9" s="26" t="s">
        <v>415</v>
      </c>
      <c r="B9" s="26" t="s">
        <v>406</v>
      </c>
      <c r="C9" s="29"/>
      <c r="D9" s="30" t="s">
        <v>407</v>
      </c>
      <c r="E9" s="29"/>
      <c r="F9" s="29"/>
      <c r="G9" s="29"/>
      <c r="H9" s="29"/>
      <c r="I9" s="29"/>
      <c r="J9" s="29"/>
      <c r="K9" s="30" t="s">
        <v>407</v>
      </c>
      <c r="L9" s="31" t="n">
        <f aca="false">COUNTIF(C9:K9,"W")</f>
        <v>2</v>
      </c>
      <c r="M9" s="32"/>
      <c r="N9" s="16" t="str">
        <f aca="false">IF(A9="Source_System__c  [BR-1]","by design",IF(A9="Created_By_Run__c  [BR-1]","by design",IF(L9&gt;1,"YES - "&amp;L9&amp;" writers","single writer")))</f>
        <v>YES - 2 writers</v>
      </c>
    </row>
    <row r="10" customFormat="false" ht="15" hidden="false" customHeight="false" outlineLevel="0" collapsed="false">
      <c r="A10" s="26" t="s">
        <v>416</v>
      </c>
      <c r="B10" s="26" t="s">
        <v>417</v>
      </c>
      <c r="C10" s="29"/>
      <c r="D10" s="30" t="s">
        <v>407</v>
      </c>
      <c r="E10" s="29"/>
      <c r="F10" s="30" t="s">
        <v>407</v>
      </c>
      <c r="G10" s="29"/>
      <c r="H10" s="30" t="s">
        <v>407</v>
      </c>
      <c r="I10" s="29"/>
      <c r="J10" s="30" t="s">
        <v>407</v>
      </c>
      <c r="K10" s="29"/>
      <c r="L10" s="31" t="n">
        <f aca="false">COUNTIF(C10:K10,"W")</f>
        <v>4</v>
      </c>
      <c r="M10" s="32"/>
      <c r="N10" s="16" t="str">
        <f aca="false">IF(A10="Source_System__c  [BR-1]","by design",IF(A10="Created_By_Run__c  [BR-1]","by design",IF(L10&gt;1,"YES - "&amp;L10&amp;" writers","single writer")))</f>
        <v>YES - 4 writers</v>
      </c>
    </row>
    <row r="11" customFormat="false" ht="15" hidden="false" customHeight="false" outlineLevel="0" collapsed="false">
      <c r="A11" s="26" t="s">
        <v>418</v>
      </c>
      <c r="B11" s="26" t="s">
        <v>406</v>
      </c>
      <c r="C11" s="29"/>
      <c r="D11" s="30" t="s">
        <v>407</v>
      </c>
      <c r="E11" s="29"/>
      <c r="F11" s="29"/>
      <c r="G11" s="29"/>
      <c r="H11" s="30" t="s">
        <v>407</v>
      </c>
      <c r="I11" s="29"/>
      <c r="J11" s="29"/>
      <c r="K11" s="29"/>
      <c r="L11" s="31" t="n">
        <f aca="false">COUNTIF(C11:K11,"W")</f>
        <v>2</v>
      </c>
      <c r="M11" s="32"/>
      <c r="N11" s="16" t="str">
        <f aca="false">IF(A11="Source_System__c  [BR-1]","by design",IF(A11="Created_By_Run__c  [BR-1]","by design",IF(L11&gt;1,"YES - "&amp;L11&amp;" writers","single writer")))</f>
        <v>YES - 2 writers</v>
      </c>
    </row>
    <row r="12" customFormat="false" ht="15" hidden="false" customHeight="false" outlineLevel="0" collapsed="false">
      <c r="A12" s="26" t="s">
        <v>419</v>
      </c>
      <c r="B12" s="26" t="s">
        <v>406</v>
      </c>
      <c r="C12" s="29"/>
      <c r="D12" s="29"/>
      <c r="E12" s="29"/>
      <c r="F12" s="29"/>
      <c r="G12" s="29"/>
      <c r="H12" s="30" t="s">
        <v>407</v>
      </c>
      <c r="I12" s="29"/>
      <c r="J12" s="29"/>
      <c r="K12" s="29"/>
      <c r="L12" s="31" t="n">
        <f aca="false">COUNTIF(C12:K12,"W")</f>
        <v>1</v>
      </c>
      <c r="M12" s="32"/>
      <c r="N12" s="16" t="str">
        <f aca="false">IF(A12="Source_System__c  [BR-1]","by design",IF(A12="Created_By_Run__c  [BR-1]","by design",IF(L12&gt;1,"YES - "&amp;L12&amp;" writers","single writer")))</f>
        <v>single writer</v>
      </c>
    </row>
    <row r="13" customFormat="false" ht="15" hidden="false" customHeight="false" outlineLevel="0" collapsed="false">
      <c r="A13" s="26" t="s">
        <v>420</v>
      </c>
      <c r="B13" s="26" t="s">
        <v>406</v>
      </c>
      <c r="C13" s="29"/>
      <c r="D13" s="29"/>
      <c r="E13" s="29"/>
      <c r="F13" s="30" t="s">
        <v>407</v>
      </c>
      <c r="G13" s="29"/>
      <c r="H13" s="30" t="s">
        <v>407</v>
      </c>
      <c r="I13" s="29"/>
      <c r="J13" s="30" t="s">
        <v>407</v>
      </c>
      <c r="K13" s="29"/>
      <c r="L13" s="31" t="n">
        <f aca="false">COUNTIF(C13:K13,"W")</f>
        <v>3</v>
      </c>
      <c r="M13" s="32"/>
      <c r="N13" s="16" t="str">
        <f aca="false">IF(A13="Source_System__c  [BR-1]","by design",IF(A13="Created_By_Run__c  [BR-1]","by design",IF(L13&gt;1,"YES - "&amp;L13&amp;" writers","single writer")))</f>
        <v>YES - 3 writers</v>
      </c>
    </row>
    <row r="14" customFormat="false" ht="15" hidden="false" customHeight="false" outlineLevel="0" collapsed="false">
      <c r="A14" s="26" t="s">
        <v>421</v>
      </c>
      <c r="B14" s="26" t="s">
        <v>422</v>
      </c>
      <c r="C14" s="29"/>
      <c r="D14" s="29"/>
      <c r="E14" s="29"/>
      <c r="F14" s="30" t="s">
        <v>407</v>
      </c>
      <c r="G14" s="29"/>
      <c r="H14" s="29"/>
      <c r="I14" s="29"/>
      <c r="J14" s="30" t="s">
        <v>407</v>
      </c>
      <c r="K14" s="29"/>
      <c r="L14" s="31" t="n">
        <f aca="false">COUNTIF(C14:K14,"W")</f>
        <v>2</v>
      </c>
      <c r="M14" s="32"/>
      <c r="N14" s="16" t="str">
        <f aca="false">IF(A14="Source_System__c  [BR-1]","by design",IF(A14="Created_By_Run__c  [BR-1]","by design",IF(L14&gt;1,"YES - "&amp;L14&amp;" writers","single writer")))</f>
        <v>YES - 2 writers</v>
      </c>
    </row>
    <row r="15" customFormat="false" ht="15" hidden="false" customHeight="false" outlineLevel="0" collapsed="false">
      <c r="A15" s="26" t="s">
        <v>423</v>
      </c>
      <c r="B15" s="26" t="s">
        <v>422</v>
      </c>
      <c r="C15" s="29"/>
      <c r="D15" s="29"/>
      <c r="E15" s="29"/>
      <c r="F15" s="30" t="s">
        <v>407</v>
      </c>
      <c r="G15" s="29"/>
      <c r="H15" s="29"/>
      <c r="I15" s="29"/>
      <c r="J15" s="30" t="s">
        <v>407</v>
      </c>
      <c r="K15" s="29"/>
      <c r="L15" s="31" t="n">
        <f aca="false">COUNTIF(C15:K15,"W")</f>
        <v>2</v>
      </c>
      <c r="M15" s="32"/>
      <c r="N15" s="16" t="str">
        <f aca="false">IF(A15="Source_System__c  [BR-1]","by design",IF(A15="Created_By_Run__c  [BR-1]","by design",IF(L15&gt;1,"YES - "&amp;L15&amp;" writers","single writer")))</f>
        <v>YES - 2 writers</v>
      </c>
    </row>
    <row r="16" customFormat="false" ht="15" hidden="false" customHeight="false" outlineLevel="0" collapsed="false">
      <c r="A16" s="26" t="s">
        <v>424</v>
      </c>
      <c r="B16" s="26" t="s">
        <v>425</v>
      </c>
      <c r="C16" s="29"/>
      <c r="D16" s="29"/>
      <c r="E16" s="29"/>
      <c r="F16" s="30" t="s">
        <v>407</v>
      </c>
      <c r="G16" s="29"/>
      <c r="H16" s="29"/>
      <c r="I16" s="29"/>
      <c r="J16" s="30" t="s">
        <v>407</v>
      </c>
      <c r="K16" s="29"/>
      <c r="L16" s="31" t="n">
        <f aca="false">COUNTIF(C16:K16,"W")</f>
        <v>2</v>
      </c>
      <c r="M16" s="32"/>
      <c r="N16" s="16" t="str">
        <f aca="false">IF(A16="Source_System__c  [BR-1]","by design",IF(A16="Created_By_Run__c  [BR-1]","by design",IF(L16&gt;1,"YES - "&amp;L16&amp;" writers","single writer")))</f>
        <v>YES - 2 writers</v>
      </c>
    </row>
    <row r="17" customFormat="false" ht="15" hidden="false" customHeight="false" outlineLevel="0" collapsed="false">
      <c r="A17" s="26" t="s">
        <v>426</v>
      </c>
      <c r="B17" s="26" t="s">
        <v>406</v>
      </c>
      <c r="C17" s="29"/>
      <c r="D17" s="29"/>
      <c r="E17" s="29"/>
      <c r="F17" s="29"/>
      <c r="G17" s="29"/>
      <c r="H17" s="29"/>
      <c r="I17" s="29"/>
      <c r="J17" s="29"/>
      <c r="K17" s="30" t="s">
        <v>407</v>
      </c>
      <c r="L17" s="31" t="n">
        <f aca="false">COUNTIF(C17:K17,"W")</f>
        <v>1</v>
      </c>
      <c r="M17" s="32"/>
      <c r="N17" s="16" t="str">
        <f aca="false">IF(A17="Source_System__c  [BR-1]","by design",IF(A17="Created_By_Run__c  [BR-1]","by design",IF(L17&gt;1,"YES - "&amp;L17&amp;" writers","single writer")))</f>
        <v>single writer</v>
      </c>
    </row>
    <row r="18" customFormat="false" ht="15" hidden="false" customHeight="false" outlineLevel="0" collapsed="false">
      <c r="A18" s="26" t="s">
        <v>427</v>
      </c>
      <c r="B18" s="26" t="s">
        <v>428</v>
      </c>
      <c r="C18" s="30" t="s">
        <v>407</v>
      </c>
      <c r="D18" s="30" t="s">
        <v>407</v>
      </c>
      <c r="E18" s="30" t="s">
        <v>407</v>
      </c>
      <c r="F18" s="30" t="s">
        <v>407</v>
      </c>
      <c r="G18" s="30" t="s">
        <v>407</v>
      </c>
      <c r="H18" s="30" t="s">
        <v>407</v>
      </c>
      <c r="I18" s="30" t="s">
        <v>407</v>
      </c>
      <c r="J18" s="30" t="s">
        <v>407</v>
      </c>
      <c r="K18" s="30" t="s">
        <v>407</v>
      </c>
      <c r="L18" s="31" t="n">
        <f aca="false">COUNTIF(C18:K18,"W")</f>
        <v>9</v>
      </c>
      <c r="M18" s="32"/>
      <c r="N18" s="16" t="str">
        <f aca="false">IF(A18="Source_System__c  [BR-1]","by design",IF(A18="Created_By_Run__c  [BR-1]","by design",IF(L18&gt;1,"YES - "&amp;L18&amp;" writers","single writer")))</f>
        <v>by design</v>
      </c>
    </row>
    <row r="19" customFormat="false" ht="15" hidden="false" customHeight="false" outlineLevel="0" collapsed="false">
      <c r="A19" s="26" t="s">
        <v>429</v>
      </c>
      <c r="B19" s="26" t="s">
        <v>428</v>
      </c>
      <c r="C19" s="30" t="s">
        <v>407</v>
      </c>
      <c r="D19" s="30" t="s">
        <v>407</v>
      </c>
      <c r="E19" s="30" t="s">
        <v>407</v>
      </c>
      <c r="F19" s="30" t="s">
        <v>407</v>
      </c>
      <c r="G19" s="30" t="s">
        <v>407</v>
      </c>
      <c r="H19" s="30" t="s">
        <v>407</v>
      </c>
      <c r="I19" s="30" t="s">
        <v>407</v>
      </c>
      <c r="J19" s="30" t="s">
        <v>407</v>
      </c>
      <c r="K19" s="30" t="s">
        <v>407</v>
      </c>
      <c r="L19" s="31" t="n">
        <f aca="false">COUNTIF(C19:K19,"W")</f>
        <v>9</v>
      </c>
      <c r="M19" s="32"/>
      <c r="N19" s="16" t="str">
        <f aca="false">IF(A19="Source_System__c  [BR-1]","by design",IF(A19="Created_By_Run__c  [BR-1]","by design",IF(L19&gt;1,"YES - "&amp;L19&amp;" writers","single writer")))</f>
        <v>by design</v>
      </c>
    </row>
    <row r="21" customFormat="false" ht="15" hidden="false" customHeight="true" outlineLevel="0" collapsed="false">
      <c r="A21" s="4" t="s">
        <v>430</v>
      </c>
      <c r="B21" s="4"/>
      <c r="C21" s="4"/>
      <c r="D21" s="4"/>
      <c r="E21" s="4"/>
      <c r="F21" s="4"/>
      <c r="G21" s="4"/>
      <c r="H21" s="4"/>
      <c r="I21" s="4"/>
      <c r="J21" s="4"/>
      <c r="K21" s="4"/>
    </row>
    <row r="22" customFormat="false" ht="15" hidden="false" customHeight="false" outlineLevel="0" collapsed="false">
      <c r="A22" s="4"/>
      <c r="B22" s="4"/>
      <c r="C22" s="4"/>
      <c r="D22" s="4"/>
      <c r="E22" s="4"/>
      <c r="F22" s="4"/>
      <c r="G22" s="4"/>
      <c r="H22" s="4"/>
      <c r="I22" s="4"/>
      <c r="J22" s="4"/>
      <c r="K22" s="4"/>
    </row>
    <row r="23" customFormat="false" ht="15" hidden="false" customHeight="false" outlineLevel="0" collapsed="false">
      <c r="A23" s="4"/>
      <c r="B23" s="4"/>
      <c r="C23" s="4"/>
      <c r="D23" s="4"/>
      <c r="E23" s="4"/>
      <c r="F23" s="4"/>
      <c r="G23" s="4"/>
      <c r="H23" s="4"/>
      <c r="I23" s="4"/>
      <c r="J23" s="4"/>
      <c r="K23" s="4"/>
    </row>
    <row r="24" customFormat="false" ht="15" hidden="false" customHeight="false" outlineLevel="0" collapsed="false">
      <c r="A24" s="4"/>
      <c r="B24" s="4"/>
      <c r="C24" s="4"/>
      <c r="D24" s="4"/>
      <c r="E24" s="4"/>
      <c r="F24" s="4"/>
      <c r="G24" s="4"/>
      <c r="H24" s="4"/>
      <c r="I24" s="4"/>
      <c r="J24" s="4"/>
      <c r="K24" s="4"/>
    </row>
  </sheetData>
  <mergeCells count="1">
    <mergeCell ref="A21:K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18"/>
    <col collapsed="false" customWidth="true" hidden="false" outlineLevel="0" max="4" min="4" style="0" width="10"/>
    <col collapsed="false" customWidth="true" hidden="false" outlineLevel="0" max="5" min="5" style="0" width="12"/>
    <col collapsed="false" customWidth="true" hidden="false" outlineLevel="0" max="7" min="6" style="0" width="62"/>
    <col collapsed="false" customWidth="true" hidden="false" outlineLevel="0" max="8" min="8" style="0" width="16"/>
    <col collapsed="false" customWidth="true" hidden="false" outlineLevel="0" max="9" min="9" style="0" width="12"/>
  </cols>
  <sheetData>
    <row r="1" customFormat="false" ht="31.5" hidden="false" customHeight="true" outlineLevel="0" collapsed="false">
      <c r="A1" s="5" t="s">
        <v>65</v>
      </c>
      <c r="B1" s="5" t="s">
        <v>431</v>
      </c>
      <c r="C1" s="5" t="s">
        <v>432</v>
      </c>
      <c r="D1" s="5" t="s">
        <v>433</v>
      </c>
      <c r="E1" s="5" t="s">
        <v>88</v>
      </c>
      <c r="F1" s="5" t="s">
        <v>434</v>
      </c>
      <c r="G1" s="5" t="s">
        <v>435</v>
      </c>
      <c r="H1" s="5" t="s">
        <v>193</v>
      </c>
      <c r="I1" s="5" t="s">
        <v>194</v>
      </c>
    </row>
    <row r="2" customFormat="false" ht="85.5" hidden="false" customHeight="true" outlineLevel="0" collapsed="false">
      <c r="A2" s="7" t="s">
        <v>436</v>
      </c>
      <c r="B2" s="8" t="s">
        <v>437</v>
      </c>
      <c r="C2" s="8" t="s">
        <v>134</v>
      </c>
      <c r="D2" s="33" t="s">
        <v>438</v>
      </c>
      <c r="E2" s="6" t="s">
        <v>439</v>
      </c>
      <c r="F2" s="8" t="s">
        <v>440</v>
      </c>
      <c r="G2" s="8" t="s">
        <v>441</v>
      </c>
      <c r="H2" s="13"/>
      <c r="I2" s="20"/>
    </row>
    <row r="3" customFormat="false" ht="85.5" hidden="false" customHeight="true" outlineLevel="0" collapsed="false">
      <c r="A3" s="7" t="s">
        <v>442</v>
      </c>
      <c r="B3" s="8" t="s">
        <v>443</v>
      </c>
      <c r="C3" s="8" t="s">
        <v>122</v>
      </c>
      <c r="D3" s="33" t="s">
        <v>438</v>
      </c>
      <c r="E3" s="6" t="s">
        <v>439</v>
      </c>
      <c r="F3" s="8" t="s">
        <v>444</v>
      </c>
      <c r="G3" s="8" t="s">
        <v>445</v>
      </c>
      <c r="H3" s="13"/>
      <c r="I3" s="20"/>
    </row>
    <row r="4" customFormat="false" ht="85.5" hidden="false" customHeight="true" outlineLevel="0" collapsed="false">
      <c r="A4" s="7" t="s">
        <v>446</v>
      </c>
      <c r="B4" s="8" t="s">
        <v>447</v>
      </c>
      <c r="C4" s="8" t="s">
        <v>448</v>
      </c>
      <c r="D4" s="34" t="s">
        <v>449</v>
      </c>
      <c r="E4" s="6" t="s">
        <v>439</v>
      </c>
      <c r="F4" s="8" t="s">
        <v>450</v>
      </c>
      <c r="G4" s="8" t="s">
        <v>451</v>
      </c>
      <c r="H4" s="13"/>
      <c r="I4" s="20"/>
    </row>
    <row r="5" customFormat="false" ht="85.5" hidden="false" customHeight="true" outlineLevel="0" collapsed="false">
      <c r="A5" s="7" t="s">
        <v>452</v>
      </c>
      <c r="B5" s="8" t="s">
        <v>453</v>
      </c>
      <c r="C5" s="8" t="s">
        <v>454</v>
      </c>
      <c r="D5" s="34" t="s">
        <v>449</v>
      </c>
      <c r="E5" s="6" t="s">
        <v>455</v>
      </c>
      <c r="F5" s="8" t="s">
        <v>456</v>
      </c>
      <c r="G5" s="8" t="s">
        <v>457</v>
      </c>
      <c r="H5" s="13"/>
      <c r="I5" s="20"/>
    </row>
    <row r="6" customFormat="false" ht="85.5" hidden="false" customHeight="true" outlineLevel="0" collapsed="false">
      <c r="A6" s="7" t="s">
        <v>458</v>
      </c>
      <c r="B6" s="8" t="s">
        <v>459</v>
      </c>
      <c r="C6" s="8" t="s">
        <v>460</v>
      </c>
      <c r="D6" s="34" t="s">
        <v>449</v>
      </c>
      <c r="E6" s="35" t="s">
        <v>461</v>
      </c>
      <c r="F6" s="8" t="s">
        <v>462</v>
      </c>
      <c r="G6" s="8" t="s">
        <v>463</v>
      </c>
      <c r="H6" s="13"/>
      <c r="I6" s="20"/>
    </row>
    <row r="7" customFormat="false" ht="85.5" hidden="false" customHeight="true" outlineLevel="0" collapsed="false">
      <c r="A7" s="7" t="s">
        <v>464</v>
      </c>
      <c r="B7" s="8" t="s">
        <v>465</v>
      </c>
      <c r="C7" s="8" t="s">
        <v>466</v>
      </c>
      <c r="D7" s="7" t="s">
        <v>467</v>
      </c>
      <c r="E7" s="35" t="s">
        <v>468</v>
      </c>
      <c r="F7" s="8" t="s">
        <v>469</v>
      </c>
      <c r="G7" s="8" t="s">
        <v>470</v>
      </c>
      <c r="H7" s="13"/>
      <c r="I7" s="20"/>
    </row>
    <row r="8" customFormat="false" ht="85.5" hidden="false" customHeight="true" outlineLevel="0" collapsed="false">
      <c r="A8" s="7" t="s">
        <v>471</v>
      </c>
      <c r="B8" s="8" t="s">
        <v>472</v>
      </c>
      <c r="C8" s="8" t="s">
        <v>105</v>
      </c>
      <c r="D8" s="7" t="s">
        <v>467</v>
      </c>
      <c r="E8" s="6" t="s">
        <v>439</v>
      </c>
      <c r="F8" s="8" t="s">
        <v>473</v>
      </c>
      <c r="G8" s="8" t="s">
        <v>474</v>
      </c>
      <c r="H8" s="13"/>
      <c r="I8" s="20"/>
    </row>
    <row r="9" customFormat="false" ht="85.5" hidden="false" customHeight="true" outlineLevel="0" collapsed="false">
      <c r="A9" s="7" t="s">
        <v>475</v>
      </c>
      <c r="B9" s="8" t="s">
        <v>476</v>
      </c>
      <c r="C9" s="8" t="s">
        <v>477</v>
      </c>
      <c r="D9" s="34" t="s">
        <v>449</v>
      </c>
      <c r="E9" s="35" t="s">
        <v>478</v>
      </c>
      <c r="F9" s="8" t="s">
        <v>479</v>
      </c>
      <c r="G9" s="8" t="s">
        <v>480</v>
      </c>
      <c r="H9" s="13"/>
      <c r="I9" s="2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2"/>
    <col collapsed="false" customWidth="true" hidden="false" outlineLevel="0" max="3" min="3" style="0" width="20"/>
    <col collapsed="false" customWidth="true" hidden="false" outlineLevel="0" max="4" min="4" style="0" width="12"/>
    <col collapsed="false" customWidth="true" hidden="false" outlineLevel="0" max="5" min="5" style="0" width="62"/>
    <col collapsed="false" customWidth="true" hidden="false" outlineLevel="0" max="6" min="6" style="0" width="32"/>
    <col collapsed="false" customWidth="true" hidden="false" outlineLevel="0" max="8" min="7" style="0" width="12"/>
  </cols>
  <sheetData>
    <row r="1" customFormat="false" ht="31.5" hidden="false" customHeight="true" outlineLevel="0" collapsed="false">
      <c r="A1" s="5" t="s">
        <v>65</v>
      </c>
      <c r="B1" s="5" t="s">
        <v>481</v>
      </c>
      <c r="C1" s="5" t="s">
        <v>88</v>
      </c>
      <c r="D1" s="5" t="s">
        <v>482</v>
      </c>
      <c r="E1" s="5" t="s">
        <v>483</v>
      </c>
      <c r="F1" s="5" t="s">
        <v>484</v>
      </c>
      <c r="G1" s="5" t="s">
        <v>485</v>
      </c>
      <c r="H1" s="5" t="s">
        <v>486</v>
      </c>
    </row>
    <row r="2" customFormat="false" ht="61.5" hidden="false" customHeight="true" outlineLevel="0" collapsed="false">
      <c r="A2" s="7" t="s">
        <v>487</v>
      </c>
      <c r="B2" s="8" t="s">
        <v>488</v>
      </c>
      <c r="C2" s="35" t="s">
        <v>489</v>
      </c>
      <c r="D2" s="6" t="s">
        <v>215</v>
      </c>
      <c r="E2" s="8" t="s">
        <v>490</v>
      </c>
      <c r="F2" s="36"/>
      <c r="G2" s="20"/>
      <c r="H2" s="6" t="s">
        <v>491</v>
      </c>
    </row>
    <row r="3" customFormat="false" ht="61.5" hidden="false" customHeight="true" outlineLevel="0" collapsed="false">
      <c r="A3" s="7" t="s">
        <v>492</v>
      </c>
      <c r="B3" s="8" t="s">
        <v>493</v>
      </c>
      <c r="C3" s="37" t="s">
        <v>494</v>
      </c>
      <c r="D3" s="6"/>
      <c r="E3" s="8" t="s">
        <v>495</v>
      </c>
      <c r="F3" s="36"/>
      <c r="G3" s="20"/>
      <c r="H3" s="6" t="s">
        <v>496</v>
      </c>
    </row>
    <row r="4" customFormat="false" ht="61.5" hidden="false" customHeight="true" outlineLevel="0" collapsed="false">
      <c r="A4" s="7" t="s">
        <v>497</v>
      </c>
      <c r="B4" s="8" t="s">
        <v>498</v>
      </c>
      <c r="C4" s="37" t="s">
        <v>494</v>
      </c>
      <c r="D4" s="6"/>
      <c r="E4" s="8" t="s">
        <v>499</v>
      </c>
      <c r="F4" s="36"/>
      <c r="G4" s="20"/>
      <c r="H4" s="6" t="s">
        <v>500</v>
      </c>
    </row>
    <row r="5" customFormat="false" ht="61.5" hidden="false" customHeight="true" outlineLevel="0" collapsed="false">
      <c r="A5" s="7" t="s">
        <v>501</v>
      </c>
      <c r="B5" s="8" t="s">
        <v>502</v>
      </c>
      <c r="C5" s="37" t="s">
        <v>494</v>
      </c>
      <c r="D5" s="6"/>
      <c r="E5" s="8" t="s">
        <v>503</v>
      </c>
      <c r="F5" s="36"/>
      <c r="G5" s="20"/>
      <c r="H5" s="6" t="s">
        <v>504</v>
      </c>
    </row>
    <row r="6" customFormat="false" ht="61.5" hidden="false" customHeight="true" outlineLevel="0" collapsed="false">
      <c r="A6" s="7" t="s">
        <v>505</v>
      </c>
      <c r="B6" s="8" t="s">
        <v>506</v>
      </c>
      <c r="C6" s="35" t="s">
        <v>507</v>
      </c>
      <c r="D6" s="6" t="s">
        <v>260</v>
      </c>
      <c r="E6" s="8" t="s">
        <v>508</v>
      </c>
      <c r="F6" s="36"/>
      <c r="G6" s="20"/>
      <c r="H6" s="6" t="s">
        <v>509</v>
      </c>
    </row>
    <row r="7" customFormat="false" ht="61.5" hidden="false" customHeight="true" outlineLevel="0" collapsed="false">
      <c r="A7" s="7" t="s">
        <v>510</v>
      </c>
      <c r="B7" s="8" t="s">
        <v>511</v>
      </c>
      <c r="C7" s="35" t="s">
        <v>512</v>
      </c>
      <c r="D7" s="6" t="s">
        <v>203</v>
      </c>
      <c r="E7" s="8" t="s">
        <v>513</v>
      </c>
      <c r="F7" s="36"/>
      <c r="G7" s="20"/>
      <c r="H7" s="6" t="s">
        <v>514</v>
      </c>
    </row>
    <row r="8" customFormat="false" ht="61.5" hidden="false" customHeight="true" outlineLevel="0" collapsed="false">
      <c r="A8" s="7" t="s">
        <v>515</v>
      </c>
      <c r="B8" s="8" t="s">
        <v>516</v>
      </c>
      <c r="C8" s="35" t="s">
        <v>517</v>
      </c>
      <c r="D8" s="6" t="s">
        <v>196</v>
      </c>
      <c r="E8" s="8" t="s">
        <v>518</v>
      </c>
      <c r="F8" s="36"/>
      <c r="G8" s="20"/>
      <c r="H8" s="6" t="s">
        <v>519</v>
      </c>
    </row>
    <row r="9" customFormat="false" ht="61.5" hidden="false" customHeight="true" outlineLevel="0" collapsed="false">
      <c r="A9" s="7" t="s">
        <v>520</v>
      </c>
      <c r="B9" s="8" t="s">
        <v>521</v>
      </c>
      <c r="C9" s="37" t="s">
        <v>494</v>
      </c>
      <c r="D9" s="6"/>
      <c r="E9" s="8" t="s">
        <v>522</v>
      </c>
      <c r="F9" s="36"/>
      <c r="G9" s="20"/>
      <c r="H9" s="6" t="s">
        <v>523</v>
      </c>
    </row>
    <row r="10" customFormat="false" ht="61.5" hidden="false" customHeight="true" outlineLevel="0" collapsed="false">
      <c r="A10" s="7" t="s">
        <v>524</v>
      </c>
      <c r="B10" s="8" t="s">
        <v>525</v>
      </c>
      <c r="C10" s="37" t="s">
        <v>494</v>
      </c>
      <c r="D10" s="6"/>
      <c r="E10" s="8" t="s">
        <v>526</v>
      </c>
      <c r="F10" s="36"/>
      <c r="G10" s="20"/>
      <c r="H10" s="6" t="s">
        <v>527</v>
      </c>
    </row>
    <row r="11" customFormat="false" ht="61.5" hidden="false" customHeight="true" outlineLevel="0" collapsed="false">
      <c r="A11" s="7" t="s">
        <v>528</v>
      </c>
      <c r="B11" s="8" t="s">
        <v>529</v>
      </c>
      <c r="C11" s="37" t="s">
        <v>494</v>
      </c>
      <c r="D11" s="6"/>
      <c r="E11" s="8" t="s">
        <v>530</v>
      </c>
      <c r="F11" s="36"/>
      <c r="G11" s="20"/>
      <c r="H11" s="6" t="s">
        <v>531</v>
      </c>
    </row>
    <row r="12" customFormat="false" ht="61.5" hidden="false" customHeight="true" outlineLevel="0" collapsed="false">
      <c r="A12" s="7" t="s">
        <v>532</v>
      </c>
      <c r="B12" s="8" t="s">
        <v>533</v>
      </c>
      <c r="C12" s="35" t="s">
        <v>534</v>
      </c>
      <c r="D12" s="6" t="s">
        <v>209</v>
      </c>
      <c r="E12" s="8" t="s">
        <v>535</v>
      </c>
      <c r="F12" s="36"/>
      <c r="G12" s="20"/>
      <c r="H12" s="6" t="s">
        <v>523</v>
      </c>
    </row>
    <row r="13" customFormat="false" ht="61.5" hidden="false" customHeight="true" outlineLevel="0" collapsed="false">
      <c r="A13" s="7" t="s">
        <v>536</v>
      </c>
      <c r="B13" s="8" t="s">
        <v>537</v>
      </c>
      <c r="C13" s="37" t="s">
        <v>494</v>
      </c>
      <c r="D13" s="6"/>
      <c r="E13" s="8" t="s">
        <v>538</v>
      </c>
      <c r="F13" s="36"/>
      <c r="G13" s="20"/>
      <c r="H13" s="6" t="s">
        <v>504</v>
      </c>
    </row>
    <row r="14" customFormat="false" ht="61.5" hidden="false" customHeight="true" outlineLevel="0" collapsed="false">
      <c r="A14" s="7" t="s">
        <v>539</v>
      </c>
      <c r="B14" s="8" t="s">
        <v>540</v>
      </c>
      <c r="C14" s="37" t="s">
        <v>494</v>
      </c>
      <c r="D14" s="6"/>
      <c r="E14" s="8" t="s">
        <v>541</v>
      </c>
      <c r="F14" s="36"/>
      <c r="G14" s="20"/>
      <c r="H14" s="6" t="s">
        <v>504</v>
      </c>
    </row>
    <row r="15" customFormat="false" ht="61.5" hidden="false" customHeight="true" outlineLevel="0" collapsed="false">
      <c r="A15" s="7" t="s">
        <v>542</v>
      </c>
      <c r="B15" s="8" t="s">
        <v>543</v>
      </c>
      <c r="C15" s="37" t="s">
        <v>494</v>
      </c>
      <c r="D15" s="6"/>
      <c r="E15" s="8" t="s">
        <v>544</v>
      </c>
      <c r="F15" s="36"/>
      <c r="G15" s="20"/>
      <c r="H15" s="6" t="s">
        <v>545</v>
      </c>
    </row>
    <row r="16" customFormat="false" ht="61.5" hidden="false" customHeight="true" outlineLevel="0" collapsed="false">
      <c r="A16" s="7" t="s">
        <v>546</v>
      </c>
      <c r="B16" s="8" t="s">
        <v>547</v>
      </c>
      <c r="C16" s="35" t="s">
        <v>548</v>
      </c>
      <c r="D16" s="6" t="s">
        <v>221</v>
      </c>
      <c r="E16" s="8" t="s">
        <v>549</v>
      </c>
      <c r="F16" s="36"/>
      <c r="G16" s="20"/>
      <c r="H16" s="6" t="s">
        <v>500</v>
      </c>
    </row>
    <row r="18" customFormat="false" ht="53.7" hidden="false" customHeight="false" outlineLevel="0" collapsed="false">
      <c r="B18" s="21" t="s">
        <v>550</v>
      </c>
    </row>
    <row r="20" customFormat="false" ht="15" hidden="false" customHeight="false" outlineLevel="0" collapsed="false">
      <c r="B20" s="9" t="s">
        <v>439</v>
      </c>
      <c r="C20" s="17" t="n">
        <f aca="false">COUNTIF(C2:C16,"OPEN")</f>
        <v>9</v>
      </c>
    </row>
    <row r="21" customFormat="false" ht="15" hidden="false" customHeight="false" outlineLevel="0" collapsed="false">
      <c r="B21" s="9" t="s">
        <v>551</v>
      </c>
      <c r="C21" s="17" t="n">
        <f aca="false">COUNTA(C2:C16)-COUNTIF(C2:C16,"OPEN")</f>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2026-08-15T02:35:03Z</dcterms:created>
  <dc:creator>openpyxl</dc:creator>
  <dc:description/>
  <dc:language>en-US</dc:language>
  <cp:lastModifiedBy/>
  <dcterms:modified xsi:type="dcterms:W3CDTF">2026-08-15T02:35:03Z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